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2200"/>
  </bookViews>
  <sheets>
    <sheet name="Sheet1" sheetId="1" r:id="rId1"/>
    <sheet name="统计" sheetId="2" r:id="rId2"/>
  </sheets>
  <definedNames>
    <definedName name="_xlnm._FilterDatabase" localSheetId="0" hidden="1">Sheet1!$1:$1048576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<sst xmlns="http://schemas.openxmlformats.org/spreadsheetml/2006/main" count="835" uniqueCount="255">
  <si>
    <t>疾病名称</t>
  </si>
  <si>
    <t>序号</t>
  </si>
  <si>
    <t>处方笺药物明细</t>
  </si>
  <si>
    <t>评分</t>
  </si>
  <si>
    <t>是否为优秀处方</t>
  </si>
  <si>
    <t>服务部来源</t>
  </si>
  <si>
    <t>低致病性禽流感</t>
  </si>
  <si>
    <t>藿香正气口服液、大华农泰乐欣、复倍喜、大华农利高欣、多西欣50%</t>
  </si>
  <si>
    <t>是</t>
  </si>
  <si>
    <t>车岗服务部</t>
  </si>
  <si>
    <t>多西欣50%、大华农利高欣、藿香正气口服液</t>
  </si>
  <si>
    <t>否</t>
  </si>
  <si>
    <t>大华农泰乐欣、大华农阿莫欣30%、藿香正气口服液</t>
  </si>
  <si>
    <t>大华农氟尔欣、耐美欣、藿香正气口服液</t>
  </si>
  <si>
    <t>苏中鸡业大丰服务部</t>
  </si>
  <si>
    <t>藿香正气口服液、大华农利高欣、多西欣50%、复倍喜、挑战新乎泰(50%酒石酸泰乐菌素可溶性粉)</t>
  </si>
  <si>
    <t>多西欣50%、挑战新乎泰(50%酒石酸泰乐菌素可溶性粉)、藿香正气口服液</t>
  </si>
  <si>
    <t>大华农利高欣、多西欣50%、藿香正气口服液</t>
  </si>
  <si>
    <t>大华农氟尔欣、挑战新乎泰(50%酒石酸泰乐菌素可溶性粉)、藿香正气口服液</t>
  </si>
  <si>
    <t>藿香正气口服液、多西欣50%、盐酸大观霉素盐酸林可霉素可溶性粉、盐酸溴己新可溶性粉、注射用酒石酸泰乐菌素</t>
  </si>
  <si>
    <t>桂林服务部</t>
  </si>
  <si>
    <t>齐乐新、大华农氟尔欣、盐酸溴己新可溶性粉、挑战新乎泰(50%酒石酸泰乐菌素可溶性粉)</t>
  </si>
  <si>
    <t>齐乐新、大华农氟尔欣溶液、盐酸溴己新可溶性粉、耐美欣</t>
  </si>
  <si>
    <t>传染性法氏囊</t>
  </si>
  <si>
    <t>香根霰、大华农泰乐欣、多西欣50%、康肾佳、多康(鸡传染性法氏囊病精制蛋黄抗体)</t>
  </si>
  <si>
    <t>香根霰、康肾佳、大华农泰乐欣</t>
  </si>
  <si>
    <t>大华农泰乐欣、多西欣50%、香根霰、康肾佳</t>
  </si>
  <si>
    <t>挑战新乎泰(50%酒石酸泰乐菌素可溶性粉)、康肾佳、多西欣50%</t>
  </si>
  <si>
    <t>多康(鸡传染性法氏囊病精制蛋黄抗体)、多西欣50%、康肾佳、挑战新乎泰(50%酒石酸泰乐菌素可溶性粉)</t>
  </si>
  <si>
    <t>多康(鸡传染性法氏囊病精制蛋黄抗体)、康肾佳、多西欣50%、注射用酒石酸泰乐菌素</t>
  </si>
  <si>
    <t>传染性支气管炎</t>
  </si>
  <si>
    <t>欣耐克、大华农利高欣、康肾佳、藿香正气口服液</t>
  </si>
  <si>
    <t>大华农利高欣、大华农阿莫欣30%、藿香正气口服液、康肾佳</t>
  </si>
  <si>
    <t>藿香正气口服液、多西欣50%、复倍喜、大华农利高欣、康肾佳、大华农泰乐欣</t>
  </si>
  <si>
    <t>大华农利高欣、大华农泰乐欣、藿香正气口服液、康肾佳</t>
  </si>
  <si>
    <t>挑战新乎泰(50%酒石酸泰乐菌素可溶性粉)、大华农氟尔欣、藿香正气口服液、康肾佳</t>
  </si>
  <si>
    <t>多西欣50%、挑战新乎泰(50%酒石酸泰乐菌素可溶性粉)、康肾佳、藿香正气口服液</t>
  </si>
  <si>
    <t>藿香正气口服液、大华农利高欣、多西欣50%、复倍喜、康肾佳、挑战新乎泰(50%酒石酸泰乐菌素可溶性粉)</t>
  </si>
  <si>
    <t>多西欣50%、耐美欣、康肾佳、藿香正气口服液</t>
  </si>
  <si>
    <t>藿香正气口服液、康肾佳、多西欣50%、盐酸大观霉素盐酸林可霉素可溶性粉、盐酸溴己新可溶性粉、注射用酒石酸泰乐菌素</t>
  </si>
  <si>
    <t>盐酸溴己新可溶性粉、欣耐克、齐乐新、康肾佳</t>
  </si>
  <si>
    <t>传染性喉气管炎</t>
  </si>
  <si>
    <t>香根霰、复倍喜、维生素K3、注射用青霉素钾-400万</t>
  </si>
  <si>
    <t>大华农利高欣、香根霰、AB速补</t>
  </si>
  <si>
    <t>大华农利高欣、香根霰、维生素K3</t>
  </si>
  <si>
    <t>果根素、维生素K3、注射用青霉素钾、复倍喜</t>
  </si>
  <si>
    <t>香根霰、维生素K3、注射用青霉素钾、复倍喜</t>
  </si>
  <si>
    <t>大华农利高欣、维生素K3、金维乐</t>
  </si>
  <si>
    <t>金维乐、林美福</t>
  </si>
  <si>
    <t>香根霰、维生素K3、注射用青霉素钾-400万、盐酸溴己新可溶性粉</t>
  </si>
  <si>
    <t>喉炎净散、维生素K3、注射用青霉素钾-400万、盐酸溴己新可溶性粉</t>
  </si>
  <si>
    <t>盐酸溴己新可溶性粉、盐酸大观霉素盐酸林可霉素可溶性粉、金维乐</t>
  </si>
  <si>
    <t>腺病毒</t>
  </si>
  <si>
    <t>肝乐健</t>
  </si>
  <si>
    <t>腺病毒蛋黄抗体是没有药品的，药物编码都没有</t>
  </si>
  <si>
    <t xml:space="preserve">{
  "output": [
    {
      "result": "{\n\"药物选择\": [\"腺病毒蛋黄抗体\", \"肝乐健\"],\n\"药物分类\": {\n  \"1、抗体药物\": [\"腺病毒蛋黄抗体\"],\n  \"2、保肝类药物\": [\"肝乐健\"]\n},\n\"处方\": {\n  \"处方1\": \"1、腺病毒蛋黄抗体注射，1-2毫升/只（病变特征典型，发病严重时）\n2、保肝类药物，如肝乐健，0.3-0.6克/只，每天饮水3-4小时，连用3天，无休药期。\"\n},\n特殊用药:{\"严重时\":[\"腺病毒蛋黄抗体\"]},\n\"处理措施\": \"1、小栏化管理有利于疾病的快速扩散传播；2、使用碘制剂(菌毒灭、三碘凌）和氯制剂（二氯异氰尿酸钠、过硫酸氢钾）消毒剂、过氧乙酸类进行带鸡消毒。\",\n\"给药逻辑和药物组合\": \"1、腺病毒蛋黄抗体；\n2、保肝类药物。\",\n\"病名或症状\": \"腺病毒(Fad)，I亚群腺病毒4型、8型、11型感染；病毒引起的心包积液，肝脏肿大、变黄、质地变脆或脂肪样病变（包涵体肝炎），肺充血积水；进一步发展可出现脾脏肿大，肺积水或肺水肿，肾脏肿胀、出血，个别腺胃乳头出血。\"\n}\n"
    }
  ]
}
</t>
  </si>
  <si>
    <t>大肠杆菌病</t>
  </si>
  <si>
    <t>欣耐克、惠呼平、大华农利高欣</t>
  </si>
  <si>
    <t>大华农利高欣、惠呼平、大华农阿莫欣30%</t>
  </si>
  <si>
    <t>大华农利高欣、多西欣50%、大华农氟尔欣</t>
  </si>
  <si>
    <t>赛威乐、大华农氟尔欣、多西欣50%、大华农利高欣</t>
  </si>
  <si>
    <t>大华农氟尔欣、林美福、惠呼平</t>
  </si>
  <si>
    <t>大华农氟尔欣、大华农利高欣、惠呼平</t>
  </si>
  <si>
    <t>大华农利高欣、大华农氟尔欣、林美福</t>
  </si>
  <si>
    <t>多西欣50%、大华农氟尔欣、盐酸大观霉素盐酸林可霉素可溶性粉</t>
  </si>
  <si>
    <t>大华农氟尔欣、欣耐克、硫酸安普霉素可溶性粉50%、盐酸大观霉素盐酸林可霉素可溶性粉</t>
  </si>
  <si>
    <t>硫酸安普霉素可溶性粉50%、欣耐克、大华农氟尔欣</t>
  </si>
  <si>
    <t>硫酸安普霉素可溶性粉50%</t>
  </si>
  <si>
    <t>人工+AI</t>
  </si>
  <si>
    <t>康肾佳、50%维生素C、菲吉乐鸣</t>
  </si>
  <si>
    <t>人工</t>
  </si>
  <si>
    <t>白痢</t>
  </si>
  <si>
    <t>三珍散、赛威乐、欣耐克、泰尔康30%、菲吉乐鸣</t>
  </si>
  <si>
    <t>菲吉乐鸣为噬菌体，成分都全了</t>
  </si>
  <si>
    <t>大华农氟尔欣、大华农利高欣、三珍散</t>
  </si>
  <si>
    <t>惠呼平、欣耐克、菲吉乐鸣</t>
  </si>
  <si>
    <t>三珍散、泰尔康30%、赛威乐、欣耐克、菲吉乐鸣</t>
  </si>
  <si>
    <t>大华农利高欣、大华农阿莫欣30%、三珍散</t>
  </si>
  <si>
    <t>大华农氟尔欣、菲吉乐鸣、三珍散</t>
  </si>
  <si>
    <t>赛威乐、大华农阿莫欣30%、菲吉乐鸣、三珍散</t>
  </si>
  <si>
    <t>大华农利高欣、大华农氟尔欣、三珍散</t>
  </si>
  <si>
    <t>硫酸安普霉素可溶性粉50%、林美福、菲吉乐鸣</t>
  </si>
  <si>
    <t>三珍散、赛威乐、惠呼平、菲吉乐鸣、耐美欣</t>
  </si>
  <si>
    <t>惠呼平、大华农利高欣、菲吉乐鸣、三珍散</t>
  </si>
  <si>
    <t>大华农氟尔欣、硫酸安普霉素可溶性粉50%、三珍散</t>
  </si>
  <si>
    <t>耐美欣、大华农利高欣、菲吉乐鸣</t>
  </si>
  <si>
    <t>三珍散、赛威乐、泰尔康2.5%、沙清、欣耐克</t>
  </si>
  <si>
    <t>盐酸大观霉素盐酸林可霉素可溶性粉、耐美欣、三珍散</t>
  </si>
  <si>
    <t>赛威乐、大华农氟尔欣、耐美欣、三珍散</t>
  </si>
  <si>
    <t>AED水溶性粉</t>
  </si>
  <si>
    <t>力速智</t>
  </si>
  <si>
    <t>三珍散</t>
  </si>
  <si>
    <t>禽霍乱</t>
  </si>
  <si>
    <t>大华农氟尔欣、注射用青霉素钾-400万</t>
  </si>
  <si>
    <t>硫酸安普霉素可溶性粉50%、多西欣50%、大华农氟尔欣</t>
  </si>
  <si>
    <t>注射用青霉素钾、大华农氟尔欣</t>
  </si>
  <si>
    <t>大华农氟尔欣、硫酸安普霉素可溶性粉50%、多西欣50%</t>
  </si>
  <si>
    <t>赛威乐、多西欣50%、大华农氟尔欣、摧球消</t>
  </si>
  <si>
    <t>赛威乐、多西欣50%、硫酸安普霉素可溶性粉50%、摧球消</t>
  </si>
  <si>
    <t>鸡传染性鼻炎</t>
  </si>
  <si>
    <t>大华农利高欣、麻黄鱼腥草散</t>
  </si>
  <si>
    <t>惠呼平、多西欣50%、麻黄鱼腥草散</t>
  </si>
  <si>
    <t>麻黄鱼腥草散、多西欣50%、大华农利高欣</t>
  </si>
  <si>
    <t>大华农利高欣、泰尔康30%、麻黄鱼腥草散</t>
  </si>
  <si>
    <t>施美乐20%、多西欣50%、惠呼平、大华农利高欣</t>
  </si>
  <si>
    <t>大华农利高欣、施美乐20%、林美福、惠呼平、多西欣50%</t>
  </si>
  <si>
    <t>果根素、大华农利高欣、多西欣50%</t>
  </si>
  <si>
    <t>大华农利高欣、惠呼平、林美福、多西欣50%</t>
  </si>
  <si>
    <t>麻黄鱼腥草散、多西欣50%、盐酸大观霉素盐酸林可霉素可溶性粉</t>
  </si>
  <si>
    <t>多西欣50%、施美乐20%、麻黄鱼腥草散</t>
  </si>
  <si>
    <t>大华农利高欣</t>
  </si>
  <si>
    <t>葡萄球菌病</t>
  </si>
  <si>
    <t>注射用青霉素钾-400万、泰尔康30%</t>
  </si>
  <si>
    <t>大华农利高欣、欣耐克</t>
  </si>
  <si>
    <t>注射用酒石酸泰乐菌素、大华农阿莫欣30%、惠呼平</t>
  </si>
  <si>
    <t>欣耐克、大华农泰乐欣、大华农利高欣</t>
  </si>
  <si>
    <t>赛威乐、欣耐克</t>
  </si>
  <si>
    <t>耐美欣、惠呼平、大华农利高欣</t>
  </si>
  <si>
    <t>注射用青霉素钾、惠呼平</t>
  </si>
  <si>
    <t>欣耐克、挑战新乎泰(50%酒石酸泰乐菌素可溶性粉)、赛威乐、注射用青霉素钾-400万</t>
  </si>
  <si>
    <t>泰尔康2.5%、注射用青霉素钾-400万</t>
  </si>
  <si>
    <t>赛威乐、耐美欣、挑战新乎泰(50%酒石酸泰乐菌素可溶性粉)</t>
  </si>
  <si>
    <t>坏死性肠炎</t>
  </si>
  <si>
    <t>白头翁口服液、维生素K3、注射用青霉素钾-400万、大华农利高欣</t>
  </si>
  <si>
    <t>欣耐克、大华农利高欣、白头翁口服液、维生素K3</t>
  </si>
  <si>
    <t>盐酸金霉素可溶性粉20%、欣耐克、维生素K3、白头翁口服液</t>
  </si>
  <si>
    <t>大华农利高欣、维生素K3、白头翁口服液</t>
  </si>
  <si>
    <t>大华农阿莫欣30%、盐酸金霉素可溶性粉20%、AB速补</t>
  </si>
  <si>
    <t>大华农利高欣、白头翁口服液、金维乐</t>
  </si>
  <si>
    <t>白头翁口服液、林美福、维生素K3、注射用青霉素钾</t>
  </si>
  <si>
    <t>白头翁口服液、注射用青霉素钾-400万、维生素K3、盐酸大观霉素盐酸林可霉素可溶性粉</t>
  </si>
  <si>
    <t>盐酸大观霉素盐酸林可霉素可溶性粉、欣耐克、维生素K3、白头翁口服液</t>
  </si>
  <si>
    <t>盐酸大观霉素盐酸林可霉素可溶性粉、白头翁口服液、AB速补</t>
  </si>
  <si>
    <t>芪黄威</t>
  </si>
  <si>
    <t>白头翁口服液、梭净、林美福、挑战沙米(1%沙咪珠利溶液)</t>
  </si>
  <si>
    <t>欣耐克、辛诺康10%、驱球止痢合剂</t>
  </si>
  <si>
    <t>滑液囊支原体</t>
  </si>
  <si>
    <t>多西欣50%、盐酸大观霉素盐酸林可霉素可溶性粉、注射用酒石酸泰乐菌素</t>
  </si>
  <si>
    <t>卡益舒、叁元青、麻杏石甘口服液</t>
  </si>
  <si>
    <t>注射用青霉素钾-400万</t>
  </si>
  <si>
    <t>齐乐新、大华农喘痢康50%</t>
  </si>
  <si>
    <t>正典金美素、辛诺康10%、新美乐50%</t>
  </si>
  <si>
    <t>麻杏石甘口服液</t>
  </si>
  <si>
    <t>金附康</t>
  </si>
  <si>
    <t>齐乐新、多西欣50%、乐呼宁</t>
  </si>
  <si>
    <t>大华农利高欣、多西欣50%、大华农泰乐欣</t>
  </si>
  <si>
    <t>盐酸金霉素可溶性粉20%、AB速补、新美乐50%</t>
  </si>
  <si>
    <t>大华农利高欣、大华农泰乐欣、盐酸金霉素可溶性粉20%</t>
  </si>
  <si>
    <t>大华农利高欣、挑战新乎泰(50%酒石酸泰乐菌素可溶性粉)、盐酸金霉素可溶性粉20%</t>
  </si>
  <si>
    <t>齐乐新、盐酸金霉素可溶性粉20%、多西欣50%</t>
  </si>
  <si>
    <t>挑战力美(50%盐酸多西环素可溶性粉)、爱牧新</t>
  </si>
  <si>
    <t>爱牧新、多西欣50%</t>
  </si>
  <si>
    <t>叁元青</t>
  </si>
  <si>
    <t>挑战新乎泰(50%酒石酸泰乐菌素可溶性粉)</t>
  </si>
  <si>
    <t>氟苯尼考可溶性粉、辛诺康10%</t>
  </si>
  <si>
    <t>挑战新乎泰(50%酒石酸泰乐菌素可溶性粉)、多西欣50%、大华农利高欣</t>
  </si>
  <si>
    <t>多西欣50%、大华农利高欣、挑战新乎泰(50%酒石酸泰乐菌素可溶性粉)</t>
  </si>
  <si>
    <t>多西欣50%</t>
  </si>
  <si>
    <t>鸡毒支原体</t>
  </si>
  <si>
    <t>齐乐新、挑战新乎泰(50%酒石酸泰乐菌素可溶性粉)、麻黄鱼腥草散、盐酸溴己新可溶性粉</t>
  </si>
  <si>
    <t>麻杏石甘口服液、大华农泰乐欣、多西欣50%、香根霰</t>
  </si>
  <si>
    <t>阿苯达唑混悬液、老三届（系列1）</t>
  </si>
  <si>
    <t>多西欣50%、独温克、替米考星溶液</t>
  </si>
  <si>
    <t>辛呼迪、大华农氟尔欣溶液、麻杏石甘口服液</t>
  </si>
  <si>
    <t>大华农泰乐欣、大华农阿莫欣30%、大华农利高欣、麻杏石甘口服液</t>
  </si>
  <si>
    <t>惠呼平、大华农泰乐欣</t>
  </si>
  <si>
    <t>大华农泰乐欣、盐酸金霉素可溶性粉20%、麻黄鱼腥草散</t>
  </si>
  <si>
    <t>大华农利高欣、多西欣50%、叁元青</t>
  </si>
  <si>
    <t>叁元青、复倍喜、多西欣50%、大华农泰乐欣、挑战新乎泰(50%酒石酸泰乐菌素可溶性粉)</t>
  </si>
  <si>
    <t>叁元青、注射用酒石酸泰乐菌素、大华农泰乐欣、多西欣50%、复倍喜</t>
  </si>
  <si>
    <t>多西欣50%、独温克、大华农阿莫欣30%、新美乐50%、洛东酵素A-90</t>
  </si>
  <si>
    <t>大华农泰乐欣、麻杏石甘口服液、卡益舒</t>
  </si>
  <si>
    <t>叁元青、多西欣50%、注射用酒石酸泰乐菌素、盐酸溴己新可溶性粉</t>
  </si>
  <si>
    <t>施美乐20%、大华农泰乐欣、多西欣50%、盐酸溴己新可溶性粉</t>
  </si>
  <si>
    <t>挑战新乎泰(50%酒石酸泰乐菌素可溶性粉)、正典金美素、麻杏石甘口服液</t>
  </si>
  <si>
    <t>麻黄鱼腥草散、注射用酒石酸泰乐菌素、复倍喜、多西欣50%、大华农泰乐欣</t>
  </si>
  <si>
    <t>挑战新乎泰(50%酒石酸泰乐菌素可溶性粉)、多西欣50%、叁元青</t>
  </si>
  <si>
    <t>挑战新乎泰(50%酒石酸泰乐菌素可溶性粉)、乐呼宁、叁元青</t>
  </si>
  <si>
    <t>叁元青、卡益舒</t>
  </si>
  <si>
    <t>多西欣50%、大华农泰乐欣、大华农氟尔欣</t>
  </si>
  <si>
    <t>洛东酵素A-90、多西欣50%、独温克、替米考星溶液</t>
  </si>
  <si>
    <t>球虫病</t>
  </si>
  <si>
    <t>歼球滴、辛诺康10%、康肾佳</t>
  </si>
  <si>
    <t>莎球诺、水溶性安替科、驱球止痢合剂、维生素K3</t>
  </si>
  <si>
    <t>水溶性安替科、维生素K3、驱球止痢合剂</t>
  </si>
  <si>
    <t>球恶仇、新美乐50%、大华农利高欣、注射用青霉素钾-400万</t>
  </si>
  <si>
    <t>莎球诺、求速安、新美乐50%、硫酸安普霉素可溶性粉50%</t>
  </si>
  <si>
    <t>金维乐、歼球滴、卡诺宁-福宝(12%单硫酸卡那霉素可溶性粉)、施美佳、洛东酵素A-90</t>
  </si>
  <si>
    <t>梭净、莎球诺、替米考星溶液、麻杏石甘口服液</t>
  </si>
  <si>
    <t>莎球诺、水溶性安替科、维生素K3</t>
  </si>
  <si>
    <t>驱球止痢合剂、维生素K3、注射用青霉素钾-400万、杆威泰</t>
  </si>
  <si>
    <t>歼球滴</t>
  </si>
  <si>
    <t>水溶性安替科、莎球诺、维生素K3</t>
  </si>
  <si>
    <t>挑战新乎泰(50%酒石酸泰乐菌素可溶性粉)、麻杏石甘口服液、球伏净、苏达、辛诺康10%</t>
  </si>
  <si>
    <t>歼球滴、莎球诺、维生素K3</t>
  </si>
  <si>
    <t>莎球诺、驱球止痢合剂、维生素K3</t>
  </si>
  <si>
    <t>莎球诺、求速安</t>
  </si>
  <si>
    <t>驱球止痢合剂、维生素K3、注射用青霉素钾、施美乐20%</t>
  </si>
  <si>
    <t>莎球诺</t>
  </si>
  <si>
    <t>水溶性安替科、摧球消、维生素K3</t>
  </si>
  <si>
    <t>水溶性安替科、金维乐</t>
  </si>
  <si>
    <t>康球诺、维生素K3、摧球消、注射用青霉素钾-400万</t>
  </si>
  <si>
    <t>康球诺、维生素K3、注射用青霉素钾、施美乐20%</t>
  </si>
  <si>
    <t>球恶仇、新美乐50%、替米考星溶液、大华农泰乐欣、金附康、ADE粉（水溶性）</t>
  </si>
  <si>
    <t>注射用酒石酸泰乐菌素、大华农泰乐欣、多西欣50%、求速安、辛诺康10%、灭菌注射用水</t>
  </si>
  <si>
    <t>新美乐50%、歼球滴</t>
  </si>
  <si>
    <t>大华农泰乐欣、莎球诺</t>
  </si>
  <si>
    <t>莎球诺、维生素K3</t>
  </si>
  <si>
    <t>求速安</t>
  </si>
  <si>
    <t>卡氏</t>
  </si>
  <si>
    <t>求速安、球恶仇、驱球止痢合剂、维生素K3</t>
  </si>
  <si>
    <t>苏达、维生素K3、杆威泰</t>
  </si>
  <si>
    <t>求速安、球恶仇、苏达、维生素K3、驱球止痢合剂</t>
  </si>
  <si>
    <t>维生素K3、施美乐20%、康肾佳</t>
  </si>
  <si>
    <t>求速安、康肾佳、维生素K3</t>
  </si>
  <si>
    <t>求速安、施美乐20%、维生素K3、康肾佳</t>
  </si>
  <si>
    <t>苏达、维生素K3、施美乐20%</t>
  </si>
  <si>
    <t>求速安、维生素K3、康肾佳</t>
  </si>
  <si>
    <t>摧球消、球伏净、康肾佳</t>
  </si>
  <si>
    <t>组织滴虫病</t>
  </si>
  <si>
    <t>地美硝唑、阿苯达唑混悬液</t>
  </si>
  <si>
    <t>阿苯达唑混悬液、地美硝唑预混剂</t>
  </si>
  <si>
    <t>阿苯达唑混悬液</t>
  </si>
  <si>
    <t>阿苯达唑混悬液、施美佳</t>
  </si>
  <si>
    <t>没有地美硝唑预混剂，匹配成分去施美佳</t>
  </si>
  <si>
    <t>成分是地美硝唑</t>
  </si>
  <si>
    <t>施美佳、阿苯达唑混悬液</t>
  </si>
  <si>
    <t>施美佳</t>
  </si>
  <si>
    <t>念珠球菌病</t>
  </si>
  <si>
    <t>净念康</t>
  </si>
  <si>
    <t>鸡蛔虫病</t>
  </si>
  <si>
    <t>霉菌病</t>
  </si>
  <si>
    <t xml:space="preserve"> {
      "result": "{\n  \"药物选择\": [\"硫酸铜\", \"净念康\"],\n  \"药物分类\": {\n   \"饮水药物\"：[\"硫酸铜\"]，\n\"中药\"：[\"净念康\"]\n  },\n  \"处方\": {\n    \"处方1\": \"硫酸铜：100克兑水200公斤饮水，每天饮水6-8小时，连续使用3-5天。\n\",\n    \"处方2\": \"净念康（250毫升/瓶）：每瓶250毫升兑水500斤，每天饮水，6-8小时，连续使用5天\"\n  },\n特殊用药:{},\n  \"处理措施\": \"\",\n  \"给药逻辑和药物组合\": \"1、饮水药物或中药任选1种。\",\n  \"病名或症状\": \"霉菌病\\n曲霉菌\\n真菌\\n气囊浑浊，气囊或脏器表有圆形菌斑，肺脏灰黄色结节\"\n}\n"
    }</t>
  </si>
  <si>
    <t>推荐处方均分</t>
  </si>
  <si>
    <t>单数</t>
  </si>
  <si>
    <t>AI处方均分</t>
  </si>
  <si>
    <t>人工均分</t>
  </si>
  <si>
    <t>禽流感</t>
  </si>
  <si>
    <t>AI+人工</t>
  </si>
  <si>
    <t>IBD</t>
  </si>
  <si>
    <t>IB</t>
  </si>
  <si>
    <t>ILT</t>
  </si>
  <si>
    <t>传染性鼻炎</t>
  </si>
  <si>
    <t>葡萄球菌</t>
  </si>
  <si>
    <t>禽出败</t>
  </si>
  <si>
    <t>滑液囊</t>
  </si>
  <si>
    <t>球虫</t>
  </si>
  <si>
    <t>组织滴虫</t>
  </si>
  <si>
    <t>黏住</t>
  </si>
  <si>
    <t>小计</t>
  </si>
  <si>
    <t>蛔虫</t>
  </si>
  <si>
    <t>霉菌</t>
  </si>
  <si>
    <t>无AI处方</t>
  </si>
  <si>
    <t>人工+AI处方</t>
  </si>
  <si>
    <t>无人工处方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</si>
</sst>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b/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6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/>
    <xf numFmtId="0" fontId="1" fillId="2" borderId="0" xfId="0" applyFont="1" applyFill="1" applyAlignment="1"/>
    <xf numFmtId="0" fontId="1" fillId="0" borderId="0" xfId="0" applyFont="1">
      <alignment vertical="center"/>
    </xf>
    <xf numFmtId="0" fontId="1" fillId="0" borderId="1" xfId="0" applyFont="1" applyBorder="1" applyAlignment="1" applyProtection="1"/>
    <xf numFmtId="0" fontId="1" fillId="0" borderId="1" xfId="0" applyFont="1" applyBorder="1" applyProtection="1">
      <alignment vertical="center"/>
    </xf>
    <xf numFmtId="0" fontId="1" fillId="0" borderId="2" xfId="0" applyFont="1" applyBorder="1" applyProtection="1">
      <alignment vertical="center"/>
    </xf>
    <xf numFmtId="0" fontId="1" fillId="0" borderId="3" xfId="0" applyFont="1" applyBorder="1" applyProtection="1">
      <alignment vertical="center"/>
    </xf>
    <xf numFmtId="0" fontId="1" fillId="0" borderId="4" xfId="0" applyFont="1" applyBorder="1" applyProtection="1">
      <alignment vertical="center"/>
    </xf>
    <xf numFmtId="0" fontId="1" fillId="0" borderId="5" xfId="0" applyFont="1" applyBorder="1" applyProtection="1">
      <alignment vertical="center"/>
    </xf>
    <xf numFmtId="0" fontId="1" fillId="0" borderId="6" xfId="0" applyFont="1" applyBorder="1" applyProtection="1">
      <alignment vertical="center"/>
    </xf>
    <xf numFmtId="0" fontId="1" fillId="0" borderId="7" xfId="0" applyFont="1" applyBorder="1" applyProtection="1">
      <alignment vertical="center"/>
    </xf>
    <xf numFmtId="0" fontId="1" fillId="0" borderId="8" xfId="0" applyFont="1" applyBorder="1" applyProtection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2" fillId="0" borderId="5" xfId="0" applyFont="1" applyBorder="1" applyAlignment="1" applyProtection="1">
      <alignment horizontal="center" vertical="center"/>
    </xf>
    <xf numFmtId="0" fontId="2" fillId="0" borderId="5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vertical="center"/>
    </xf>
    <xf numFmtId="0" fontId="1" fillId="0" borderId="5" xfId="0" applyFont="1" applyBorder="1" applyAlignment="1" applyProtection="1"/>
    <xf numFmtId="0" fontId="1" fillId="0" borderId="5" xfId="0" applyFont="1" applyBorder="1" applyAlignment="1" applyProtection="1">
      <alignment horizontal="center"/>
    </xf>
    <xf numFmtId="0" fontId="1" fillId="0" borderId="5" xfId="0" applyFont="1" applyBorder="1" applyAlignment="1" applyProtection="1">
      <alignment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5" xfId="0" applyFont="1" applyBorder="1" applyAlignment="1" applyProtection="1">
      <alignment vertical="center" wrapText="1"/>
    </xf>
    <xf numFmtId="0" fontId="1" fillId="0" borderId="5" xfId="0" applyFont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>
        <c:rich>
          <a:bodyPr/>
          <a:lstStyle/>
          <a:p>
            <a:pPr>
              <a:defRPr/>
            </a:pPr>
          </a:p>
        </c:rich>
      </c:tx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统计!$B$23</c:f>
              <c:strCache>
                <c:ptCount val="1"/>
                <c:pt idx="0">
                  <c:v>推荐处方均分</c:v>
                </c:pt>
              </c:strCache>
            </c:strRef>
          </c:tx>
          <c:spPr>
            <a:solidFill>
              <a:srgbClr val="5A9AD5"/>
            </a:solidFill>
          </c:spPr>
          <c:invertIfNegative val="0"/>
          <c:dLbls>
            <c:delete val="1"/>
          </c:dLbls>
          <c:cat>
            <c:strRef>
              <c:f>统计!$A$24:$A$42</c:f>
              <c:strCache>
                <c:ptCount val="19"/>
                <c:pt idx="0">
                  <c:v>禽流感</c:v>
                </c:pt>
                <c:pt idx="1">
                  <c:v>传染性支气管炎</c:v>
                </c:pt>
                <c:pt idx="2">
                  <c:v>传染性喉气管炎</c:v>
                </c:pt>
                <c:pt idx="3">
                  <c:v>大肠杆菌病</c:v>
                </c:pt>
                <c:pt idx="4">
                  <c:v>禽霍乱</c:v>
                </c:pt>
                <c:pt idx="5">
                  <c:v>传染性鼻炎</c:v>
                </c:pt>
                <c:pt idx="6">
                  <c:v>葡萄球菌</c:v>
                </c:pt>
                <c:pt idx="7">
                  <c:v>卡氏</c:v>
                </c:pt>
                <c:pt idx="8">
                  <c:v>念珠球菌病</c:v>
                </c:pt>
                <c:pt idx="9">
                  <c:v>鸡蛔虫病</c:v>
                </c:pt>
                <c:pt idx="10">
                  <c:v>传染性法氏囊</c:v>
                </c:pt>
                <c:pt idx="11">
                  <c:v>滑液囊支原体</c:v>
                </c:pt>
                <c:pt idx="12">
                  <c:v>鸡毒支原体</c:v>
                </c:pt>
                <c:pt idx="13">
                  <c:v>坏死性肠炎</c:v>
                </c:pt>
                <c:pt idx="14">
                  <c:v>白痢</c:v>
                </c:pt>
                <c:pt idx="15">
                  <c:v>球虫病</c:v>
                </c:pt>
                <c:pt idx="16">
                  <c:v>腺病毒</c:v>
                </c:pt>
                <c:pt idx="17">
                  <c:v>组织滴虫病</c:v>
                </c:pt>
                <c:pt idx="18">
                  <c:v>霉菌病</c:v>
                </c:pt>
              </c:strCache>
            </c:strRef>
          </c:cat>
          <c:val>
            <c:numRef>
              <c:f>统计!$B$24:$B$42</c:f>
              <c:numCache>
                <c:formatCode>General</c:formatCode>
                <c:ptCount val="1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97</c:v>
                </c:pt>
                <c:pt idx="11">
                  <c:v>97</c:v>
                </c:pt>
                <c:pt idx="12">
                  <c:v>95</c:v>
                </c:pt>
                <c:pt idx="13">
                  <c:v>93</c:v>
                </c:pt>
                <c:pt idx="14">
                  <c:v>85</c:v>
                </c:pt>
                <c:pt idx="15">
                  <c:v>85</c:v>
                </c:pt>
                <c:pt idx="16">
                  <c:v>80</c:v>
                </c:pt>
                <c:pt idx="17">
                  <c:v>37.5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crossBetween val="midCat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71dd5fa-634d-4d0e-83e9-e1b27d1d411b}"/>
      </c:ext>
    </c:extLst>
  </c:chart>
  <c:spPr>
    <a:solidFill>
      <a:srgbClr val="FFFFFF"/>
    </a:solidFill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>
        <c:rich>
          <a:bodyPr/>
          <a:lstStyle/>
          <a:p>
            <a:pPr>
              <a:defRPr/>
            </a:pPr>
          </a:p>
        </c:rich>
      </c:tx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统计!$H$23</c:f>
              <c:strCache>
                <c:ptCount val="1"/>
                <c:pt idx="0">
                  <c:v>AI处方均分</c:v>
                </c:pt>
              </c:strCache>
            </c:strRef>
          </c:tx>
          <c:spPr>
            <a:solidFill>
              <a:srgbClr val="5A9AD5"/>
            </a:solidFill>
          </c:spPr>
          <c:invertIfNegative val="0"/>
          <c:dLbls>
            <c:delete val="1"/>
          </c:dLbls>
          <c:cat>
            <c:strRef>
              <c:f>统计!$G$24:$G$42</c:f>
              <c:strCache>
                <c:ptCount val="19"/>
                <c:pt idx="0">
                  <c:v>鸡蛔虫病</c:v>
                </c:pt>
                <c:pt idx="1">
                  <c:v>葡萄球菌</c:v>
                </c:pt>
                <c:pt idx="2">
                  <c:v>白痢</c:v>
                </c:pt>
                <c:pt idx="3">
                  <c:v>滑液囊支原体</c:v>
                </c:pt>
                <c:pt idx="4">
                  <c:v>卡氏</c:v>
                </c:pt>
                <c:pt idx="5">
                  <c:v>传染性鼻炎</c:v>
                </c:pt>
                <c:pt idx="6">
                  <c:v>大肠杆菌病</c:v>
                </c:pt>
                <c:pt idx="7">
                  <c:v>球虫病</c:v>
                </c:pt>
                <c:pt idx="8">
                  <c:v>鸡毒支原体</c:v>
                </c:pt>
                <c:pt idx="9">
                  <c:v>坏死性肠炎</c:v>
                </c:pt>
                <c:pt idx="10">
                  <c:v>传染性支气管炎</c:v>
                </c:pt>
                <c:pt idx="11">
                  <c:v>禽霍乱</c:v>
                </c:pt>
                <c:pt idx="12">
                  <c:v>传染性法氏囊</c:v>
                </c:pt>
                <c:pt idx="13">
                  <c:v>传染性喉气管炎</c:v>
                </c:pt>
                <c:pt idx="14">
                  <c:v>禽流感</c:v>
                </c:pt>
                <c:pt idx="15">
                  <c:v>念珠球菌病</c:v>
                </c:pt>
                <c:pt idx="16">
                  <c:v>组织滴虫病</c:v>
                </c:pt>
                <c:pt idx="17">
                  <c:v>腺病毒</c:v>
                </c:pt>
                <c:pt idx="18">
                  <c:v>霉菌病</c:v>
                </c:pt>
              </c:strCache>
            </c:strRef>
          </c:cat>
          <c:val>
            <c:numRef>
              <c:f>统计!$H$24:$H$42</c:f>
              <c:numCache>
                <c:formatCode>General</c:formatCode>
                <c:ptCount val="19"/>
                <c:pt idx="0">
                  <c:v>100</c:v>
                </c:pt>
                <c:pt idx="1">
                  <c:v>99</c:v>
                </c:pt>
                <c:pt idx="2">
                  <c:v>89</c:v>
                </c:pt>
                <c:pt idx="3">
                  <c:v>87</c:v>
                </c:pt>
                <c:pt idx="4">
                  <c:v>87</c:v>
                </c:pt>
                <c:pt idx="5">
                  <c:v>86</c:v>
                </c:pt>
                <c:pt idx="6">
                  <c:v>84</c:v>
                </c:pt>
                <c:pt idx="7">
                  <c:v>84</c:v>
                </c:pt>
                <c:pt idx="8">
                  <c:v>83</c:v>
                </c:pt>
                <c:pt idx="9">
                  <c:v>78</c:v>
                </c:pt>
                <c:pt idx="10">
                  <c:v>76</c:v>
                </c:pt>
                <c:pt idx="11">
                  <c:v>75</c:v>
                </c:pt>
                <c:pt idx="12">
                  <c:v>73</c:v>
                </c:pt>
                <c:pt idx="13">
                  <c:v>67</c:v>
                </c:pt>
                <c:pt idx="14">
                  <c:v>59</c:v>
                </c:pt>
                <c:pt idx="15">
                  <c:v>50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crossBetween val="midCat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174c5b0-1670-4ee1-b2e5-2656ccd98cb2}"/>
      </c:ext>
    </c:extLst>
  </c:chart>
  <c:spPr>
    <a:solidFill>
      <a:srgbClr val="FFFFFF"/>
    </a:solidFill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425"/>
              <a:t>11.19版本处方评分</a:t>
            </a:r>
            <a:endParaRPr sz="1425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统计!$B$59</c:f>
              <c:strCache>
                <c:ptCount val="1"/>
                <c:pt idx="0">
                  <c:v>推荐处方均分</c:v>
                </c:pt>
              </c:strCache>
            </c:strRef>
          </c:tx>
          <c:spPr>
            <a:solidFill>
              <a:srgbClr val="5A9AD5"/>
            </a:solidFill>
          </c:spPr>
          <c:invertIfNegative val="0"/>
          <c:dLbls>
            <c:delete val="1"/>
          </c:dLbls>
          <c:cat>
            <c:strRef>
              <c:f>统计!$A$60:$A$78</c:f>
              <c:strCache>
                <c:ptCount val="19"/>
                <c:pt idx="0">
                  <c:v>禽流感</c:v>
                </c:pt>
                <c:pt idx="1">
                  <c:v>传染性支气管炎</c:v>
                </c:pt>
                <c:pt idx="2">
                  <c:v>传染性喉气管炎</c:v>
                </c:pt>
                <c:pt idx="3">
                  <c:v>大肠杆菌病</c:v>
                </c:pt>
                <c:pt idx="4">
                  <c:v>禽霍乱</c:v>
                </c:pt>
                <c:pt idx="5">
                  <c:v>传染性鼻炎</c:v>
                </c:pt>
                <c:pt idx="6">
                  <c:v>葡萄球菌</c:v>
                </c:pt>
                <c:pt idx="7">
                  <c:v>卡氏</c:v>
                </c:pt>
                <c:pt idx="8">
                  <c:v>念珠球菌病</c:v>
                </c:pt>
                <c:pt idx="9">
                  <c:v>鸡蛔虫病</c:v>
                </c:pt>
                <c:pt idx="10">
                  <c:v>传染性法氏囊</c:v>
                </c:pt>
                <c:pt idx="11">
                  <c:v>滑液囊支原体</c:v>
                </c:pt>
                <c:pt idx="12">
                  <c:v>鸡毒支原体</c:v>
                </c:pt>
                <c:pt idx="13">
                  <c:v>坏死性肠炎</c:v>
                </c:pt>
                <c:pt idx="14">
                  <c:v>白痢</c:v>
                </c:pt>
                <c:pt idx="15">
                  <c:v>球虫病</c:v>
                </c:pt>
                <c:pt idx="16">
                  <c:v>腺病毒</c:v>
                </c:pt>
                <c:pt idx="17">
                  <c:v>组织滴虫病</c:v>
                </c:pt>
                <c:pt idx="18">
                  <c:v>霉菌病</c:v>
                </c:pt>
              </c:strCache>
            </c:strRef>
          </c:cat>
          <c:val>
            <c:numRef>
              <c:f>统计!$B$60:$B$78</c:f>
              <c:numCache>
                <c:formatCode>General</c:formatCode>
                <c:ptCount val="1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97</c:v>
                </c:pt>
                <c:pt idx="11">
                  <c:v>97</c:v>
                </c:pt>
                <c:pt idx="12">
                  <c:v>95</c:v>
                </c:pt>
                <c:pt idx="13">
                  <c:v>93</c:v>
                </c:pt>
                <c:pt idx="14">
                  <c:v>85</c:v>
                </c:pt>
                <c:pt idx="15">
                  <c:v>85</c:v>
                </c:pt>
                <c:pt idx="16">
                  <c:v>80</c:v>
                </c:pt>
                <c:pt idx="17">
                  <c:v>37.5</c:v>
                </c:pt>
                <c:pt idx="18">
                  <c:v>0</c:v>
                </c:pt>
              </c:numCache>
            </c:numRef>
          </c:val>
        </c:ser>
        <c:ser>
          <c:idx val="1"/>
          <c:order val="1"/>
          <c:tx>
            <c:strRef>
              <c:f>统计!$C$59</c:f>
              <c:strCache>
                <c:ptCount val="1"/>
                <c:pt idx="0">
                  <c:v>AI处方均分</c:v>
                </c:pt>
              </c:strCache>
            </c:strRef>
          </c:tx>
          <c:spPr>
            <a:solidFill>
              <a:srgbClr val="EC7C31"/>
            </a:solidFill>
          </c:spPr>
          <c:invertIfNegative val="0"/>
          <c:dLbls>
            <c:delete val="1"/>
          </c:dLbls>
          <c:cat>
            <c:strRef>
              <c:f>统计!$A$60:$A$78</c:f>
              <c:strCache>
                <c:ptCount val="19"/>
                <c:pt idx="0">
                  <c:v>禽流感</c:v>
                </c:pt>
                <c:pt idx="1">
                  <c:v>传染性支气管炎</c:v>
                </c:pt>
                <c:pt idx="2">
                  <c:v>传染性喉气管炎</c:v>
                </c:pt>
                <c:pt idx="3">
                  <c:v>大肠杆菌病</c:v>
                </c:pt>
                <c:pt idx="4">
                  <c:v>禽霍乱</c:v>
                </c:pt>
                <c:pt idx="5">
                  <c:v>传染性鼻炎</c:v>
                </c:pt>
                <c:pt idx="6">
                  <c:v>葡萄球菌</c:v>
                </c:pt>
                <c:pt idx="7">
                  <c:v>卡氏</c:v>
                </c:pt>
                <c:pt idx="8">
                  <c:v>念珠球菌病</c:v>
                </c:pt>
                <c:pt idx="9">
                  <c:v>鸡蛔虫病</c:v>
                </c:pt>
                <c:pt idx="10">
                  <c:v>传染性法氏囊</c:v>
                </c:pt>
                <c:pt idx="11">
                  <c:v>滑液囊支原体</c:v>
                </c:pt>
                <c:pt idx="12">
                  <c:v>鸡毒支原体</c:v>
                </c:pt>
                <c:pt idx="13">
                  <c:v>坏死性肠炎</c:v>
                </c:pt>
                <c:pt idx="14">
                  <c:v>白痢</c:v>
                </c:pt>
                <c:pt idx="15">
                  <c:v>球虫病</c:v>
                </c:pt>
                <c:pt idx="16">
                  <c:v>腺病毒</c:v>
                </c:pt>
                <c:pt idx="17">
                  <c:v>组织滴虫病</c:v>
                </c:pt>
                <c:pt idx="18">
                  <c:v>霉菌病</c:v>
                </c:pt>
              </c:strCache>
            </c:strRef>
          </c:cat>
          <c:val>
            <c:numRef>
              <c:f>统计!$C$60:$C$78</c:f>
              <c:numCache>
                <c:formatCode>General</c:formatCode>
                <c:ptCount val="19"/>
                <c:pt idx="0">
                  <c:v>59</c:v>
                </c:pt>
                <c:pt idx="1">
                  <c:v>76</c:v>
                </c:pt>
                <c:pt idx="2">
                  <c:v>67</c:v>
                </c:pt>
                <c:pt idx="3">
                  <c:v>84</c:v>
                </c:pt>
                <c:pt idx="4">
                  <c:v>75</c:v>
                </c:pt>
                <c:pt idx="5">
                  <c:v>86</c:v>
                </c:pt>
                <c:pt idx="6">
                  <c:v>99</c:v>
                </c:pt>
                <c:pt idx="7">
                  <c:v>87</c:v>
                </c:pt>
                <c:pt idx="8">
                  <c:v>50</c:v>
                </c:pt>
                <c:pt idx="9">
                  <c:v>100</c:v>
                </c:pt>
                <c:pt idx="10">
                  <c:v>73</c:v>
                </c:pt>
                <c:pt idx="11">
                  <c:v>87</c:v>
                </c:pt>
                <c:pt idx="12">
                  <c:v>83</c:v>
                </c:pt>
                <c:pt idx="13">
                  <c:v>78</c:v>
                </c:pt>
                <c:pt idx="14">
                  <c:v>89</c:v>
                </c:pt>
                <c:pt idx="15">
                  <c:v>84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ser>
          <c:idx val="2"/>
          <c:order val="2"/>
          <c:tx>
            <c:strRef>
              <c:f>统计!$D$59</c:f>
              <c:strCache>
                <c:ptCount val="1"/>
                <c:pt idx="0">
                  <c:v>人工均分</c:v>
                </c:pt>
              </c:strCache>
            </c:strRef>
          </c:tx>
          <c:spPr>
            <a:solidFill>
              <a:srgbClr val="A5A5A5"/>
            </a:solidFill>
          </c:spPr>
          <c:invertIfNegative val="0"/>
          <c:dLbls>
            <c:delete val="1"/>
          </c:dLbls>
          <c:cat>
            <c:strRef>
              <c:f>统计!$A$60:$A$78</c:f>
              <c:strCache>
                <c:ptCount val="19"/>
                <c:pt idx="0">
                  <c:v>禽流感</c:v>
                </c:pt>
                <c:pt idx="1">
                  <c:v>传染性支气管炎</c:v>
                </c:pt>
                <c:pt idx="2">
                  <c:v>传染性喉气管炎</c:v>
                </c:pt>
                <c:pt idx="3">
                  <c:v>大肠杆菌病</c:v>
                </c:pt>
                <c:pt idx="4">
                  <c:v>禽霍乱</c:v>
                </c:pt>
                <c:pt idx="5">
                  <c:v>传染性鼻炎</c:v>
                </c:pt>
                <c:pt idx="6">
                  <c:v>葡萄球菌</c:v>
                </c:pt>
                <c:pt idx="7">
                  <c:v>卡氏</c:v>
                </c:pt>
                <c:pt idx="8">
                  <c:v>念珠球菌病</c:v>
                </c:pt>
                <c:pt idx="9">
                  <c:v>鸡蛔虫病</c:v>
                </c:pt>
                <c:pt idx="10">
                  <c:v>传染性法氏囊</c:v>
                </c:pt>
                <c:pt idx="11">
                  <c:v>滑液囊支原体</c:v>
                </c:pt>
                <c:pt idx="12">
                  <c:v>鸡毒支原体</c:v>
                </c:pt>
                <c:pt idx="13">
                  <c:v>坏死性肠炎</c:v>
                </c:pt>
                <c:pt idx="14">
                  <c:v>白痢</c:v>
                </c:pt>
                <c:pt idx="15">
                  <c:v>球虫病</c:v>
                </c:pt>
                <c:pt idx="16">
                  <c:v>腺病毒</c:v>
                </c:pt>
                <c:pt idx="17">
                  <c:v>组织滴虫病</c:v>
                </c:pt>
                <c:pt idx="18">
                  <c:v>霉菌病</c:v>
                </c:pt>
              </c:strCache>
            </c:strRef>
          </c:cat>
          <c:val>
            <c:numRef>
              <c:f>统计!$D$60:$D$78</c:f>
              <c:numCache>
                <c:formatCode>General</c:formatCode>
                <c:ptCount val="19"/>
                <c:pt idx="0">
                  <c:v>0</c:v>
                </c:pt>
                <c:pt idx="1">
                  <c:v>50</c:v>
                </c:pt>
                <c:pt idx="2">
                  <c:v>25</c:v>
                </c:pt>
                <c:pt idx="3">
                  <c:v>69</c:v>
                </c:pt>
                <c:pt idx="4">
                  <c:v>0</c:v>
                </c:pt>
                <c:pt idx="5">
                  <c:v>60</c:v>
                </c:pt>
                <c:pt idx="6">
                  <c:v>56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40</c:v>
                </c:pt>
                <c:pt idx="12">
                  <c:v>40</c:v>
                </c:pt>
                <c:pt idx="13">
                  <c:v>61</c:v>
                </c:pt>
                <c:pt idx="14">
                  <c:v>64</c:v>
                </c:pt>
                <c:pt idx="15">
                  <c:v>61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crossBetween val="midCat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033fbff-b456-46bf-812f-9f145ab51894}"/>
      </c:ext>
    </c:extLst>
  </c:chart>
  <c:spPr>
    <a:solidFill>
      <a:srgbClr val="FFFFFF"/>
    </a:solidFill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A9AD5"/>
            </a:solidFill>
          </c:spPr>
          <c:invertIfNegative val="0"/>
          <c:dLbls>
            <c:delete val="1"/>
          </c:dLbls>
          <c:cat>
            <c:strRef>
              <c:f>统计!$B$81:$E$81</c:f>
              <c:strCache>
                <c:ptCount val="4"/>
                <c:pt idx="0">
                  <c:v>推荐处方均分</c:v>
                </c:pt>
                <c:pt idx="1">
                  <c:v>AI处方均分</c:v>
                </c:pt>
                <c:pt idx="2">
                  <c:v>人工+AI处方</c:v>
                </c:pt>
                <c:pt idx="3">
                  <c:v>人工均分</c:v>
                </c:pt>
              </c:strCache>
            </c:strRef>
          </c:cat>
          <c:val>
            <c:numRef>
              <c:f>统计!$B$82:$E$82</c:f>
              <c:numCache>
                <c:formatCode>General</c:formatCode>
                <c:ptCount val="4"/>
                <c:pt idx="0">
                  <c:v>87.7</c:v>
                </c:pt>
                <c:pt idx="1">
                  <c:v>78.5</c:v>
                </c:pt>
                <c:pt idx="2">
                  <c:v>39.8</c:v>
                </c:pt>
                <c:pt idx="3">
                  <c:v>53.3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crossBetween val="midCat"/>
      </c:valAx>
    </c:plotArea>
    <c:plotVisOnly val="1"/>
    <c:dispBlanksAs val="gap"/>
    <c:showDLblsOverMax val="0"/>
    <c:extLst>
      <c:ext uri="{0b15fc19-7d7d-44ad-8c2d-2c3a37ce22c3}">
        <chartProps xmlns="https://web.wps.cn/et/2018/main" chartId="{162c76fb-d8e2-4463-88bc-282d5299a794}"/>
      </c:ext>
    </c:extLst>
  </c:chart>
  <c:spPr>
    <a:solidFill>
      <a:srgbClr val="FFFFFF"/>
    </a:solidFill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</xdr:colOff>
      <xdr:row>42</xdr:row>
      <xdr:rowOff>73660</xdr:rowOff>
    </xdr:from>
    <xdr:ext cx="5842000" cy="2743200"/>
    <xdr:graphicFrame>
      <xdr:nvGraphicFramePr>
        <xdr:cNvPr id="2" name="不可见图表"/>
        <xdr:cNvGraphicFramePr/>
      </xdr:nvGraphicFramePr>
      <xdr:xfrm>
        <a:off x="635" y="7434580"/>
        <a:ext cx="584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589280</xdr:colOff>
      <xdr:row>44</xdr:row>
      <xdr:rowOff>10160</xdr:rowOff>
    </xdr:from>
    <xdr:ext cx="5369560" cy="2743200"/>
    <xdr:graphicFrame>
      <xdr:nvGraphicFramePr>
        <xdr:cNvPr id="3" name="不可见图表"/>
        <xdr:cNvGraphicFramePr/>
      </xdr:nvGraphicFramePr>
      <xdr:xfrm>
        <a:off x="6139180" y="7721600"/>
        <a:ext cx="53695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356235</xdr:colOff>
      <xdr:row>64</xdr:row>
      <xdr:rowOff>69215</xdr:rowOff>
    </xdr:from>
    <xdr:ext cx="5369560" cy="2743200"/>
    <xdr:graphicFrame>
      <xdr:nvGraphicFramePr>
        <xdr:cNvPr id="4" name="不可见图表"/>
        <xdr:cNvGraphicFramePr/>
      </xdr:nvGraphicFramePr>
      <xdr:xfrm>
        <a:off x="5906135" y="11285855"/>
        <a:ext cx="53695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</xdr:col>
      <xdr:colOff>236220</xdr:colOff>
      <xdr:row>84</xdr:row>
      <xdr:rowOff>93980</xdr:rowOff>
    </xdr:from>
    <xdr:ext cx="5684520" cy="2743200"/>
    <xdr:graphicFrame>
      <xdr:nvGraphicFramePr>
        <xdr:cNvPr id="5" name="不可见图表"/>
        <xdr:cNvGraphicFramePr/>
      </xdr:nvGraphicFramePr>
      <xdr:xfrm>
        <a:off x="3449320" y="14815820"/>
        <a:ext cx="56845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23"/>
  <sheetViews>
    <sheetView tabSelected="1" workbookViewId="0">
      <selection activeCell="C59" sqref="C59"/>
    </sheetView>
  </sheetViews>
  <sheetFormatPr defaultColWidth="8.83333333333333" defaultRowHeight="13.8" customHeight="1" outlineLevelCol="7"/>
  <cols>
    <col min="1" max="1" width="16.5" style="13" customWidth="1"/>
    <col min="2" max="2" width="8.83333333333333" style="13"/>
    <col min="3" max="3" width="103.891666666667" style="14" customWidth="1"/>
    <col min="4" max="4" width="8.83333333333333" style="15"/>
    <col min="5" max="5" width="17.1666666666667" style="13" customWidth="1"/>
    <col min="6" max="6" width="20.8333333333333" style="16" customWidth="1"/>
    <col min="7" max="7" width="39.4416666666667" style="1" customWidth="1"/>
    <col min="8" max="18" width="8.83333333333333" style="1"/>
    <col min="21" max="26" width="8.83333333333333" style="1"/>
    <col min="29" max="40" width="8.83333333333333" style="1"/>
  </cols>
  <sheetData>
    <row r="1" s="1" customFormat="1" ht="15.75" customHeight="1" spans="1:6">
      <c r="A1" s="17" t="s">
        <v>0</v>
      </c>
      <c r="B1" s="17" t="s">
        <v>1</v>
      </c>
      <c r="C1" s="18" t="s">
        <v>2</v>
      </c>
      <c r="D1" s="17" t="s">
        <v>3</v>
      </c>
      <c r="E1" s="23" t="s">
        <v>4</v>
      </c>
      <c r="F1" s="24" t="s">
        <v>5</v>
      </c>
    </row>
    <row r="2" s="1" customFormat="1" ht="15.75" customHeight="1" spans="1:6">
      <c r="A2" s="19" t="s">
        <v>6</v>
      </c>
      <c r="B2" s="19">
        <v>1</v>
      </c>
      <c r="C2" s="20" t="s">
        <v>7</v>
      </c>
      <c r="D2" s="21">
        <v>100</v>
      </c>
      <c r="E2" s="15" t="s">
        <v>8</v>
      </c>
      <c r="F2" s="1" t="s">
        <v>9</v>
      </c>
    </row>
    <row r="3" s="1" customFormat="1" ht="15.75" customHeight="1" spans="1:6">
      <c r="A3" s="19"/>
      <c r="B3" s="19">
        <v>2</v>
      </c>
      <c r="C3" s="20" t="s">
        <v>10</v>
      </c>
      <c r="D3" s="21">
        <v>80</v>
      </c>
      <c r="E3" s="15" t="s">
        <v>11</v>
      </c>
      <c r="F3" s="1" t="s">
        <v>9</v>
      </c>
    </row>
    <row r="4" s="1" customFormat="1" ht="15.75" customHeight="1" spans="1:6">
      <c r="A4" s="19"/>
      <c r="B4" s="19">
        <v>3</v>
      </c>
      <c r="C4" s="20" t="s">
        <v>12</v>
      </c>
      <c r="D4" s="21">
        <v>50</v>
      </c>
      <c r="E4" s="15" t="s">
        <v>11</v>
      </c>
      <c r="F4" s="1" t="s">
        <v>9</v>
      </c>
    </row>
    <row r="5" s="1" customFormat="1" ht="15.75" customHeight="1" spans="1:6">
      <c r="A5" s="19"/>
      <c r="B5" s="19">
        <v>4</v>
      </c>
      <c r="C5" s="20" t="s">
        <v>13</v>
      </c>
      <c r="D5" s="21">
        <v>50</v>
      </c>
      <c r="E5" s="15" t="s">
        <v>11</v>
      </c>
      <c r="F5" s="1" t="s">
        <v>14</v>
      </c>
    </row>
    <row r="6" s="1" customFormat="1" ht="15.75" customHeight="1" spans="1:6">
      <c r="A6" s="19"/>
      <c r="B6" s="19">
        <v>5</v>
      </c>
      <c r="C6" s="20" t="s">
        <v>15</v>
      </c>
      <c r="D6" s="21">
        <v>100</v>
      </c>
      <c r="E6" s="15" t="s">
        <v>8</v>
      </c>
      <c r="F6" s="1" t="s">
        <v>14</v>
      </c>
    </row>
    <row r="7" s="1" customFormat="1" ht="15.75" customHeight="1" spans="1:6">
      <c r="A7" s="19"/>
      <c r="B7" s="19">
        <v>6</v>
      </c>
      <c r="C7" s="20" t="s">
        <v>16</v>
      </c>
      <c r="D7" s="21">
        <v>60</v>
      </c>
      <c r="E7" s="15" t="s">
        <v>11</v>
      </c>
      <c r="F7" s="1" t="s">
        <v>14</v>
      </c>
    </row>
    <row r="8" s="1" customFormat="1" ht="15.75" customHeight="1" spans="1:6">
      <c r="A8" s="19"/>
      <c r="B8" s="19">
        <v>7</v>
      </c>
      <c r="C8" s="20" t="s">
        <v>17</v>
      </c>
      <c r="D8" s="21">
        <v>80</v>
      </c>
      <c r="E8" s="15" t="s">
        <v>11</v>
      </c>
      <c r="F8" s="1" t="s">
        <v>14</v>
      </c>
    </row>
    <row r="9" s="1" customFormat="1" ht="15.75" customHeight="1" spans="1:6">
      <c r="A9" s="19"/>
      <c r="B9" s="19">
        <v>8</v>
      </c>
      <c r="C9" s="20" t="s">
        <v>18</v>
      </c>
      <c r="D9" s="21">
        <v>50</v>
      </c>
      <c r="E9" s="15" t="s">
        <v>11</v>
      </c>
      <c r="F9" s="1" t="s">
        <v>14</v>
      </c>
    </row>
    <row r="10" s="1" customFormat="1" ht="15.75" customHeight="1" spans="1:6">
      <c r="A10" s="19"/>
      <c r="B10" s="19">
        <v>9</v>
      </c>
      <c r="C10" s="20" t="s">
        <v>19</v>
      </c>
      <c r="D10" s="21">
        <v>100</v>
      </c>
      <c r="E10" s="15" t="s">
        <v>8</v>
      </c>
      <c r="F10" s="1" t="s">
        <v>20</v>
      </c>
    </row>
    <row r="11" s="1" customFormat="1" ht="15.75" customHeight="1" spans="1:6">
      <c r="A11" s="19"/>
      <c r="B11" s="19">
        <v>10</v>
      </c>
      <c r="C11" s="20" t="s">
        <v>21</v>
      </c>
      <c r="D11" s="21">
        <v>50</v>
      </c>
      <c r="E11" s="15" t="s">
        <v>11</v>
      </c>
      <c r="F11" s="1" t="s">
        <v>20</v>
      </c>
    </row>
    <row r="12" s="1" customFormat="1" ht="15.75" customHeight="1" spans="1:6">
      <c r="A12" s="19"/>
      <c r="B12" s="19">
        <v>11</v>
      </c>
      <c r="C12" s="20" t="s">
        <v>22</v>
      </c>
      <c r="D12" s="21">
        <v>50</v>
      </c>
      <c r="E12" s="15" t="s">
        <v>11</v>
      </c>
      <c r="F12" s="1" t="s">
        <v>20</v>
      </c>
    </row>
    <row r="13" s="1" customFormat="1" ht="15.75" customHeight="1" spans="1:6">
      <c r="A13" s="19" t="s">
        <v>23</v>
      </c>
      <c r="B13" s="19">
        <v>1</v>
      </c>
      <c r="C13" s="20" t="s">
        <v>24</v>
      </c>
      <c r="D13" s="21">
        <v>100</v>
      </c>
      <c r="E13" s="15" t="s">
        <v>8</v>
      </c>
      <c r="F13" s="1" t="s">
        <v>9</v>
      </c>
    </row>
    <row r="14" s="1" customFormat="1" ht="15.75" customHeight="1" spans="1:6">
      <c r="A14" s="19"/>
      <c r="B14" s="19">
        <v>2</v>
      </c>
      <c r="C14" s="20" t="s">
        <v>25</v>
      </c>
      <c r="D14" s="21">
        <v>60</v>
      </c>
      <c r="E14" s="15" t="s">
        <v>11</v>
      </c>
      <c r="F14" s="1" t="s">
        <v>9</v>
      </c>
    </row>
    <row r="15" s="1" customFormat="1" ht="15.75" customHeight="1" spans="1:6">
      <c r="A15" s="19"/>
      <c r="B15" s="19">
        <v>3</v>
      </c>
      <c r="C15" s="20" t="s">
        <v>26</v>
      </c>
      <c r="D15" s="21">
        <v>80</v>
      </c>
      <c r="E15" s="15" t="s">
        <v>11</v>
      </c>
      <c r="F15" s="1" t="s">
        <v>9</v>
      </c>
    </row>
    <row r="16" s="1" customFormat="1" ht="15.75" customHeight="1" spans="1:6">
      <c r="A16" s="19"/>
      <c r="B16" s="19">
        <v>4</v>
      </c>
      <c r="C16" s="20" t="s">
        <v>27</v>
      </c>
      <c r="D16" s="21">
        <v>70</v>
      </c>
      <c r="E16" s="15" t="s">
        <v>11</v>
      </c>
      <c r="F16" s="1" t="s">
        <v>14</v>
      </c>
    </row>
    <row r="17" s="1" customFormat="1" ht="15.75" customHeight="1" spans="1:6">
      <c r="A17" s="19"/>
      <c r="B17" s="19">
        <v>5</v>
      </c>
      <c r="C17" s="20" t="s">
        <v>28</v>
      </c>
      <c r="D17" s="21">
        <v>95</v>
      </c>
      <c r="E17" s="15" t="s">
        <v>8</v>
      </c>
      <c r="F17" s="1" t="s">
        <v>14</v>
      </c>
    </row>
    <row r="18" s="1" customFormat="1" ht="15.75" customHeight="1" spans="1:6">
      <c r="A18" s="19"/>
      <c r="B18" s="19">
        <v>6</v>
      </c>
      <c r="C18" s="20" t="s">
        <v>29</v>
      </c>
      <c r="D18" s="21">
        <v>95</v>
      </c>
      <c r="E18" s="15" t="s">
        <v>8</v>
      </c>
      <c r="F18" s="1" t="s">
        <v>20</v>
      </c>
    </row>
    <row r="19" s="1" customFormat="1" ht="15.75" customHeight="1" spans="1:6">
      <c r="A19" s="19"/>
      <c r="B19" s="19">
        <v>7</v>
      </c>
      <c r="C19" s="20" t="s">
        <v>27</v>
      </c>
      <c r="D19" s="21">
        <v>80</v>
      </c>
      <c r="E19" s="15" t="s">
        <v>11</v>
      </c>
      <c r="F19" s="1" t="s">
        <v>20</v>
      </c>
    </row>
    <row r="20" s="1" customFormat="1" ht="15.75" customHeight="1" spans="1:6">
      <c r="A20" s="19" t="s">
        <v>30</v>
      </c>
      <c r="B20" s="19">
        <v>1</v>
      </c>
      <c r="C20" s="20" t="s">
        <v>31</v>
      </c>
      <c r="D20" s="21">
        <v>80</v>
      </c>
      <c r="E20" s="15" t="s">
        <v>11</v>
      </c>
      <c r="F20" s="1" t="s">
        <v>9</v>
      </c>
    </row>
    <row r="21" s="1" customFormat="1" ht="15.75" customHeight="1" spans="1:6">
      <c r="A21" s="19"/>
      <c r="B21" s="19">
        <v>2</v>
      </c>
      <c r="C21" s="20" t="s">
        <v>32</v>
      </c>
      <c r="D21" s="21">
        <v>80</v>
      </c>
      <c r="E21" s="15" t="s">
        <v>11</v>
      </c>
      <c r="F21" s="1" t="s">
        <v>9</v>
      </c>
    </row>
    <row r="22" s="1" customFormat="1" ht="15.75" customHeight="1" spans="1:6">
      <c r="A22" s="19"/>
      <c r="B22" s="19">
        <v>3</v>
      </c>
      <c r="C22" s="20" t="s">
        <v>33</v>
      </c>
      <c r="D22" s="21">
        <v>100</v>
      </c>
      <c r="E22" s="15" t="s">
        <v>8</v>
      </c>
      <c r="F22" s="1" t="s">
        <v>9</v>
      </c>
    </row>
    <row r="23" s="1" customFormat="1" ht="15.75" customHeight="1" spans="1:6">
      <c r="A23" s="19"/>
      <c r="B23" s="19">
        <v>4</v>
      </c>
      <c r="C23" s="20" t="s">
        <v>34</v>
      </c>
      <c r="D23" s="21">
        <v>90</v>
      </c>
      <c r="E23" s="15" t="s">
        <v>11</v>
      </c>
      <c r="F23" s="1" t="s">
        <v>9</v>
      </c>
    </row>
    <row r="24" s="1" customFormat="1" ht="15.75" customHeight="1" spans="1:6">
      <c r="A24" s="19"/>
      <c r="B24" s="19">
        <v>5</v>
      </c>
      <c r="C24" s="20" t="s">
        <v>35</v>
      </c>
      <c r="D24" s="21">
        <v>70</v>
      </c>
      <c r="E24" s="15" t="s">
        <v>11</v>
      </c>
      <c r="F24" s="1" t="s">
        <v>14</v>
      </c>
    </row>
    <row r="25" s="1" customFormat="1" ht="15.75" customHeight="1" spans="1:6">
      <c r="A25" s="19"/>
      <c r="B25" s="19">
        <v>6</v>
      </c>
      <c r="C25" s="20" t="s">
        <v>36</v>
      </c>
      <c r="D25" s="21">
        <v>80</v>
      </c>
      <c r="E25" s="15" t="s">
        <v>11</v>
      </c>
      <c r="F25" s="1" t="s">
        <v>14</v>
      </c>
    </row>
    <row r="26" s="1" customFormat="1" ht="15.75" customHeight="1" spans="1:6">
      <c r="A26" s="19"/>
      <c r="B26" s="19">
        <v>7</v>
      </c>
      <c r="C26" s="20" t="s">
        <v>37</v>
      </c>
      <c r="D26" s="21">
        <v>100</v>
      </c>
      <c r="E26" s="15" t="s">
        <v>8</v>
      </c>
      <c r="F26" s="1" t="s">
        <v>14</v>
      </c>
    </row>
    <row r="27" s="1" customFormat="1" ht="15.75" customHeight="1" spans="1:6">
      <c r="A27" s="19"/>
      <c r="B27" s="19">
        <v>8</v>
      </c>
      <c r="C27" s="20" t="s">
        <v>38</v>
      </c>
      <c r="D27" s="21">
        <v>60</v>
      </c>
      <c r="E27" s="15" t="s">
        <v>11</v>
      </c>
      <c r="F27" s="1" t="s">
        <v>14</v>
      </c>
    </row>
    <row r="28" s="1" customFormat="1" ht="15.75" customHeight="1" spans="1:6">
      <c r="A28" s="19"/>
      <c r="B28" s="19">
        <v>9</v>
      </c>
      <c r="C28" s="20" t="s">
        <v>39</v>
      </c>
      <c r="D28" s="21">
        <v>100</v>
      </c>
      <c r="E28" s="15" t="s">
        <v>8</v>
      </c>
      <c r="F28" s="1" t="s">
        <v>20</v>
      </c>
    </row>
    <row r="29" s="1" customFormat="1" ht="15.75" customHeight="1" spans="1:6">
      <c r="A29" s="19"/>
      <c r="B29" s="19">
        <v>10</v>
      </c>
      <c r="C29" s="20" t="s">
        <v>40</v>
      </c>
      <c r="D29" s="21">
        <v>70</v>
      </c>
      <c r="E29" s="15" t="s">
        <v>11</v>
      </c>
      <c r="F29" s="1" t="s">
        <v>20</v>
      </c>
    </row>
    <row r="30" s="1" customFormat="1" ht="15.75" customHeight="1" spans="1:6">
      <c r="A30" s="19" t="s">
        <v>41</v>
      </c>
      <c r="B30" s="19">
        <v>1</v>
      </c>
      <c r="C30" s="20" t="s">
        <v>42</v>
      </c>
      <c r="D30" s="21">
        <v>100</v>
      </c>
      <c r="E30" s="15" t="s">
        <v>8</v>
      </c>
      <c r="F30" s="1" t="s">
        <v>9</v>
      </c>
    </row>
    <row r="31" s="1" customFormat="1" ht="15.75" customHeight="1" spans="1:6">
      <c r="A31" s="19"/>
      <c r="B31" s="19">
        <v>2</v>
      </c>
      <c r="C31" s="20" t="s">
        <v>43</v>
      </c>
      <c r="D31" s="21">
        <v>70</v>
      </c>
      <c r="E31" s="15" t="s">
        <v>11</v>
      </c>
      <c r="F31" s="1" t="s">
        <v>9</v>
      </c>
    </row>
    <row r="32" s="1" customFormat="1" ht="15.75" customHeight="1" spans="1:6">
      <c r="A32" s="19"/>
      <c r="B32" s="19">
        <v>3</v>
      </c>
      <c r="C32" s="20" t="s">
        <v>44</v>
      </c>
      <c r="D32" s="21">
        <v>85</v>
      </c>
      <c r="E32" s="15" t="s">
        <v>11</v>
      </c>
      <c r="F32" s="1" t="s">
        <v>9</v>
      </c>
    </row>
    <row r="33" s="1" customFormat="1" ht="15.75" customHeight="1" spans="1:6">
      <c r="A33" s="19"/>
      <c r="B33" s="19">
        <v>4</v>
      </c>
      <c r="C33" s="20" t="s">
        <v>45</v>
      </c>
      <c r="D33" s="21">
        <v>100</v>
      </c>
      <c r="E33" s="15" t="s">
        <v>8</v>
      </c>
      <c r="F33" s="1" t="s">
        <v>14</v>
      </c>
    </row>
    <row r="34" s="1" customFormat="1" ht="15.75" customHeight="1" spans="1:6">
      <c r="A34" s="19"/>
      <c r="B34" s="19">
        <v>5</v>
      </c>
      <c r="C34" s="20" t="s">
        <v>46</v>
      </c>
      <c r="D34" s="21">
        <v>100</v>
      </c>
      <c r="E34" s="15" t="s">
        <v>8</v>
      </c>
      <c r="F34" s="1" t="s">
        <v>14</v>
      </c>
    </row>
    <row r="35" s="1" customFormat="1" ht="15.75" customHeight="1" spans="1:6">
      <c r="A35" s="19"/>
      <c r="B35" s="19">
        <v>6</v>
      </c>
      <c r="C35" s="20" t="s">
        <v>47</v>
      </c>
      <c r="D35" s="21">
        <v>80</v>
      </c>
      <c r="E35" s="15" t="s">
        <v>11</v>
      </c>
      <c r="F35" s="1" t="s">
        <v>14</v>
      </c>
    </row>
    <row r="36" s="1" customFormat="1" ht="15.75" customHeight="1" spans="1:6">
      <c r="A36" s="19"/>
      <c r="B36" s="19">
        <v>7</v>
      </c>
      <c r="C36" s="20" t="s">
        <v>48</v>
      </c>
      <c r="D36" s="21">
        <v>25</v>
      </c>
      <c r="E36" s="15" t="s">
        <v>11</v>
      </c>
      <c r="F36" s="1" t="s">
        <v>14</v>
      </c>
    </row>
    <row r="37" s="1" customFormat="1" ht="15.75" customHeight="1" spans="1:6">
      <c r="A37" s="19"/>
      <c r="B37" s="19">
        <v>8</v>
      </c>
      <c r="C37" s="20" t="s">
        <v>49</v>
      </c>
      <c r="D37" s="21">
        <v>100</v>
      </c>
      <c r="E37" s="15" t="s">
        <v>8</v>
      </c>
      <c r="F37" s="1" t="s">
        <v>20</v>
      </c>
    </row>
    <row r="38" s="1" customFormat="1" ht="15.75" customHeight="1" spans="1:6">
      <c r="A38" s="19"/>
      <c r="B38" s="19">
        <v>9</v>
      </c>
      <c r="C38" s="20" t="s">
        <v>50</v>
      </c>
      <c r="D38" s="21">
        <v>100</v>
      </c>
      <c r="E38" s="15" t="s">
        <v>8</v>
      </c>
      <c r="F38" s="1" t="s">
        <v>20</v>
      </c>
    </row>
    <row r="39" s="1" customFormat="1" ht="15.75" customHeight="1" spans="1:6">
      <c r="A39" s="19"/>
      <c r="B39" s="19">
        <v>10</v>
      </c>
      <c r="C39" s="20" t="s">
        <v>51</v>
      </c>
      <c r="D39" s="21">
        <v>75</v>
      </c>
      <c r="E39" s="15" t="s">
        <v>11</v>
      </c>
      <c r="F39" s="1" t="s">
        <v>20</v>
      </c>
    </row>
    <row r="40" s="1" customFormat="1" ht="15.75" customHeight="1" spans="1:8">
      <c r="A40" s="19" t="s">
        <v>52</v>
      </c>
      <c r="B40" s="19">
        <v>1</v>
      </c>
      <c r="C40" s="20" t="s">
        <v>53</v>
      </c>
      <c r="D40" s="21">
        <v>80</v>
      </c>
      <c r="E40" s="13" t="s">
        <v>8</v>
      </c>
      <c r="F40" s="16" t="s">
        <v>9</v>
      </c>
      <c r="G40" s="1" t="s">
        <v>54</v>
      </c>
      <c r="H40" s="1" t="s">
        <v>55</v>
      </c>
    </row>
    <row r="41" s="1" customFormat="1" ht="15.75" customHeight="1" spans="1:7">
      <c r="A41" s="19"/>
      <c r="B41" s="19">
        <v>2</v>
      </c>
      <c r="C41" s="20" t="s">
        <v>53</v>
      </c>
      <c r="D41" s="21">
        <v>80</v>
      </c>
      <c r="E41" s="13" t="s">
        <v>8</v>
      </c>
      <c r="F41" s="16" t="s">
        <v>14</v>
      </c>
      <c r="G41" s="1" t="s">
        <v>54</v>
      </c>
    </row>
    <row r="42" s="1" customFormat="1" ht="15.75" customHeight="1" spans="1:7">
      <c r="A42" s="19"/>
      <c r="B42" s="19">
        <v>3</v>
      </c>
      <c r="C42" s="20" t="s">
        <v>53</v>
      </c>
      <c r="D42" s="21">
        <v>80</v>
      </c>
      <c r="E42" s="13" t="s">
        <v>8</v>
      </c>
      <c r="F42" s="16" t="s">
        <v>20</v>
      </c>
      <c r="G42" s="1" t="s">
        <v>54</v>
      </c>
    </row>
    <row r="43" s="1" customFormat="1" ht="15.75" customHeight="1" spans="1:6">
      <c r="A43" s="19" t="s">
        <v>56</v>
      </c>
      <c r="B43" s="19">
        <v>1</v>
      </c>
      <c r="C43" s="20" t="s">
        <v>57</v>
      </c>
      <c r="D43" s="21">
        <v>100</v>
      </c>
      <c r="E43" s="15" t="s">
        <v>11</v>
      </c>
      <c r="F43" s="1" t="s">
        <v>9</v>
      </c>
    </row>
    <row r="44" s="1" customFormat="1" ht="15.75" customHeight="1" spans="1:6">
      <c r="A44" s="19"/>
      <c r="B44" s="19">
        <v>2</v>
      </c>
      <c r="C44" s="20" t="s">
        <v>58</v>
      </c>
      <c r="D44" s="21">
        <v>100</v>
      </c>
      <c r="E44" s="15" t="s">
        <v>11</v>
      </c>
      <c r="F44" s="1" t="s">
        <v>9</v>
      </c>
    </row>
    <row r="45" s="1" customFormat="1" ht="15.75" customHeight="1" spans="1:6">
      <c r="A45" s="19"/>
      <c r="B45" s="19">
        <v>3</v>
      </c>
      <c r="C45" s="20" t="s">
        <v>59</v>
      </c>
      <c r="D45" s="21">
        <v>100</v>
      </c>
      <c r="E45" s="15" t="s">
        <v>8</v>
      </c>
      <c r="F45" s="1" t="s">
        <v>9</v>
      </c>
    </row>
    <row r="46" s="1" customFormat="1" ht="15.75" customHeight="1" spans="1:6">
      <c r="A46" s="19"/>
      <c r="B46" s="19">
        <v>4</v>
      </c>
      <c r="C46" s="20" t="s">
        <v>60</v>
      </c>
      <c r="D46" s="21">
        <v>80</v>
      </c>
      <c r="E46" s="15" t="s">
        <v>11</v>
      </c>
      <c r="F46" s="1" t="s">
        <v>9</v>
      </c>
    </row>
    <row r="47" s="1" customFormat="1" ht="15.75" customHeight="1" spans="1:6">
      <c r="A47" s="19"/>
      <c r="B47" s="19">
        <v>5</v>
      </c>
      <c r="C47" s="20" t="s">
        <v>61</v>
      </c>
      <c r="D47" s="21">
        <v>80</v>
      </c>
      <c r="E47" s="15" t="s">
        <v>11</v>
      </c>
      <c r="F47" s="1" t="s">
        <v>14</v>
      </c>
    </row>
    <row r="48" s="1" customFormat="1" ht="15.75" customHeight="1" spans="1:6">
      <c r="A48" s="19"/>
      <c r="B48" s="19">
        <v>6</v>
      </c>
      <c r="C48" s="20" t="s">
        <v>59</v>
      </c>
      <c r="D48" s="21">
        <v>100</v>
      </c>
      <c r="E48" s="15" t="s">
        <v>8</v>
      </c>
      <c r="F48" s="1" t="s">
        <v>14</v>
      </c>
    </row>
    <row r="49" s="1" customFormat="1" ht="15.75" customHeight="1" spans="1:6">
      <c r="A49" s="19"/>
      <c r="B49" s="19">
        <v>7</v>
      </c>
      <c r="C49" s="20" t="s">
        <v>62</v>
      </c>
      <c r="D49" s="21">
        <v>80</v>
      </c>
      <c r="E49" s="15" t="s">
        <v>11</v>
      </c>
      <c r="F49" s="1" t="s">
        <v>14</v>
      </c>
    </row>
    <row r="50" s="1" customFormat="1" ht="15.75" customHeight="1" spans="1:6">
      <c r="A50" s="19"/>
      <c r="B50" s="19">
        <v>8</v>
      </c>
      <c r="C50" s="20" t="s">
        <v>63</v>
      </c>
      <c r="D50" s="21">
        <v>80</v>
      </c>
      <c r="E50" s="15" t="s">
        <v>11</v>
      </c>
      <c r="F50" s="1" t="s">
        <v>14</v>
      </c>
    </row>
    <row r="51" s="1" customFormat="1" ht="15.75" customHeight="1" spans="1:6">
      <c r="A51" s="19"/>
      <c r="B51" s="19">
        <v>9</v>
      </c>
      <c r="C51" s="20" t="s">
        <v>64</v>
      </c>
      <c r="D51" s="21">
        <v>100</v>
      </c>
      <c r="E51" s="15" t="s">
        <v>8</v>
      </c>
      <c r="F51" s="1" t="s">
        <v>20</v>
      </c>
    </row>
    <row r="52" s="1" customFormat="1" ht="15.75" customHeight="1" spans="1:6">
      <c r="A52" s="19"/>
      <c r="B52" s="19">
        <v>10</v>
      </c>
      <c r="C52" s="20" t="s">
        <v>65</v>
      </c>
      <c r="D52" s="21">
        <v>80</v>
      </c>
      <c r="E52" s="15" t="s">
        <v>11</v>
      </c>
      <c r="F52" s="1" t="s">
        <v>20</v>
      </c>
    </row>
    <row r="53" s="1" customFormat="1" ht="15.75" customHeight="1" spans="1:6">
      <c r="A53" s="19"/>
      <c r="B53" s="19">
        <v>11</v>
      </c>
      <c r="C53" s="20" t="s">
        <v>66</v>
      </c>
      <c r="D53" s="21">
        <v>70</v>
      </c>
      <c r="E53" s="15" t="s">
        <v>11</v>
      </c>
      <c r="F53" s="1" t="s">
        <v>20</v>
      </c>
    </row>
    <row r="54" s="1" customFormat="1" ht="15.75" customHeight="1" spans="1:6">
      <c r="A54" s="19"/>
      <c r="B54" s="19">
        <v>12</v>
      </c>
      <c r="C54" s="22" t="s">
        <v>67</v>
      </c>
      <c r="D54" s="21">
        <v>50</v>
      </c>
      <c r="E54" s="13"/>
      <c r="F54" s="16" t="s">
        <v>68</v>
      </c>
    </row>
    <row r="55" s="1" customFormat="1" ht="15.75" customHeight="1" spans="1:6">
      <c r="A55" s="19"/>
      <c r="B55" s="19">
        <v>13</v>
      </c>
      <c r="C55" s="22" t="s">
        <v>69</v>
      </c>
      <c r="D55" s="21">
        <v>25</v>
      </c>
      <c r="E55" s="13"/>
      <c r="F55" s="16" t="s">
        <v>70</v>
      </c>
    </row>
    <row r="56" s="1" customFormat="1" ht="15.75" customHeight="1" spans="1:7">
      <c r="A56" s="19" t="s">
        <v>71</v>
      </c>
      <c r="B56" s="19">
        <v>1</v>
      </c>
      <c r="C56" s="20" t="s">
        <v>72</v>
      </c>
      <c r="D56" s="21">
        <v>80</v>
      </c>
      <c r="E56" s="15" t="s">
        <v>8</v>
      </c>
      <c r="F56" s="1" t="s">
        <v>9</v>
      </c>
      <c r="G56" s="1" t="s">
        <v>73</v>
      </c>
    </row>
    <row r="57" s="1" customFormat="1" ht="15.75" customHeight="1" spans="1:6">
      <c r="A57" s="19"/>
      <c r="B57" s="19">
        <v>2</v>
      </c>
      <c r="C57" s="20" t="s">
        <v>74</v>
      </c>
      <c r="D57" s="21">
        <v>90</v>
      </c>
      <c r="E57" s="15" t="s">
        <v>11</v>
      </c>
      <c r="F57" s="1" t="s">
        <v>9</v>
      </c>
    </row>
    <row r="58" s="1" customFormat="1" ht="15.75" customHeight="1" spans="1:6">
      <c r="A58" s="19"/>
      <c r="B58" s="19">
        <v>3</v>
      </c>
      <c r="C58" s="20" t="s">
        <v>75</v>
      </c>
      <c r="D58" s="21">
        <v>70</v>
      </c>
      <c r="E58" s="15" t="s">
        <v>11</v>
      </c>
      <c r="F58" s="1" t="s">
        <v>9</v>
      </c>
    </row>
    <row r="59" s="1" customFormat="1" ht="15.75" customHeight="1" spans="1:6">
      <c r="A59" s="19"/>
      <c r="B59" s="19">
        <v>4</v>
      </c>
      <c r="C59" s="20" t="s">
        <v>76</v>
      </c>
      <c r="D59" s="21">
        <v>80</v>
      </c>
      <c r="E59" s="15" t="s">
        <v>8</v>
      </c>
      <c r="F59" s="1" t="s">
        <v>9</v>
      </c>
    </row>
    <row r="60" s="1" customFormat="1" ht="15.75" customHeight="1" spans="1:6">
      <c r="A60" s="19"/>
      <c r="B60" s="19">
        <v>5</v>
      </c>
      <c r="C60" s="20" t="s">
        <v>77</v>
      </c>
      <c r="D60" s="21">
        <v>90</v>
      </c>
      <c r="E60" s="15" t="s">
        <v>11</v>
      </c>
      <c r="F60" s="1" t="s">
        <v>9</v>
      </c>
    </row>
    <row r="61" s="1" customFormat="1" ht="15.75" customHeight="1" spans="1:6">
      <c r="A61" s="19"/>
      <c r="B61" s="19">
        <v>6</v>
      </c>
      <c r="C61" s="20" t="s">
        <v>78</v>
      </c>
      <c r="D61" s="21">
        <v>90</v>
      </c>
      <c r="E61" s="15" t="s">
        <v>11</v>
      </c>
      <c r="F61" s="1" t="s">
        <v>9</v>
      </c>
    </row>
    <row r="62" s="1" customFormat="1" ht="15.75" customHeight="1" spans="1:6">
      <c r="A62" s="19"/>
      <c r="B62" s="19">
        <v>7</v>
      </c>
      <c r="C62" s="20" t="s">
        <v>79</v>
      </c>
      <c r="D62" s="21">
        <v>90</v>
      </c>
      <c r="E62" s="15" t="s">
        <v>11</v>
      </c>
      <c r="F62" s="1" t="s">
        <v>9</v>
      </c>
    </row>
    <row r="63" s="1" customFormat="1" ht="15.75" customHeight="1" spans="1:6">
      <c r="A63" s="19"/>
      <c r="B63" s="19">
        <v>8</v>
      </c>
      <c r="C63" s="20" t="s">
        <v>80</v>
      </c>
      <c r="D63" s="21">
        <v>90</v>
      </c>
      <c r="E63" s="15" t="s">
        <v>11</v>
      </c>
      <c r="F63" s="1" t="s">
        <v>14</v>
      </c>
    </row>
    <row r="64" s="1" customFormat="1" ht="15.75" customHeight="1" spans="1:6">
      <c r="A64" s="19"/>
      <c r="B64" s="19">
        <v>9</v>
      </c>
      <c r="C64" s="20" t="s">
        <v>81</v>
      </c>
      <c r="D64" s="21">
        <v>90</v>
      </c>
      <c r="E64" s="15" t="s">
        <v>11</v>
      </c>
      <c r="F64" s="1" t="s">
        <v>14</v>
      </c>
    </row>
    <row r="65" s="1" customFormat="1" ht="15.75" customHeight="1" spans="1:6">
      <c r="A65" s="19"/>
      <c r="B65" s="19">
        <v>10</v>
      </c>
      <c r="C65" s="20" t="s">
        <v>82</v>
      </c>
      <c r="D65" s="21">
        <v>90</v>
      </c>
      <c r="E65" s="15" t="s">
        <v>8</v>
      </c>
      <c r="F65" s="1" t="s">
        <v>14</v>
      </c>
    </row>
    <row r="66" s="1" customFormat="1" ht="15.75" customHeight="1" spans="1:6">
      <c r="A66" s="19"/>
      <c r="B66" s="19">
        <v>11</v>
      </c>
      <c r="C66" s="20" t="s">
        <v>83</v>
      </c>
      <c r="D66" s="21">
        <v>90</v>
      </c>
      <c r="E66" s="15" t="s">
        <v>11</v>
      </c>
      <c r="F66" s="1" t="s">
        <v>14</v>
      </c>
    </row>
    <row r="67" s="1" customFormat="1" ht="15.75" customHeight="1" spans="1:6">
      <c r="A67" s="19"/>
      <c r="B67" s="19">
        <v>12</v>
      </c>
      <c r="C67" s="20" t="s">
        <v>84</v>
      </c>
      <c r="D67" s="21">
        <v>90</v>
      </c>
      <c r="E67" s="15" t="s">
        <v>11</v>
      </c>
      <c r="F67" s="1" t="s">
        <v>14</v>
      </c>
    </row>
    <row r="68" s="1" customFormat="1" ht="15.75" customHeight="1" spans="1:6">
      <c r="A68" s="19"/>
      <c r="B68" s="19">
        <v>13</v>
      </c>
      <c r="C68" s="20" t="s">
        <v>85</v>
      </c>
      <c r="D68" s="21">
        <v>100</v>
      </c>
      <c r="E68" s="15" t="s">
        <v>11</v>
      </c>
      <c r="F68" s="1" t="s">
        <v>14</v>
      </c>
    </row>
    <row r="69" s="1" customFormat="1" ht="15.75" customHeight="1" spans="1:6">
      <c r="A69" s="19"/>
      <c r="B69" s="19">
        <v>14</v>
      </c>
      <c r="C69" s="20" t="s">
        <v>86</v>
      </c>
      <c r="D69" s="21">
        <v>90</v>
      </c>
      <c r="E69" s="15" t="s">
        <v>8</v>
      </c>
      <c r="F69" s="1" t="s">
        <v>20</v>
      </c>
    </row>
    <row r="70" s="1" customFormat="1" ht="15.75" customHeight="1" spans="1:6">
      <c r="A70" s="19"/>
      <c r="B70" s="19">
        <v>15</v>
      </c>
      <c r="C70" s="20" t="s">
        <v>87</v>
      </c>
      <c r="D70" s="21">
        <v>90</v>
      </c>
      <c r="E70" s="15" t="s">
        <v>11</v>
      </c>
      <c r="F70" s="1" t="s">
        <v>20</v>
      </c>
    </row>
    <row r="71" s="1" customFormat="1" ht="15.75" customHeight="1" spans="1:6">
      <c r="A71" s="19"/>
      <c r="B71" s="19">
        <v>16</v>
      </c>
      <c r="C71" s="20" t="s">
        <v>88</v>
      </c>
      <c r="D71" s="21">
        <v>90</v>
      </c>
      <c r="E71" s="15" t="s">
        <v>11</v>
      </c>
      <c r="F71" s="1" t="s">
        <v>20</v>
      </c>
    </row>
    <row r="72" s="1" customFormat="1" ht="15.75" customHeight="1" spans="1:6">
      <c r="A72" s="19"/>
      <c r="B72" s="19">
        <v>17</v>
      </c>
      <c r="C72" s="20" t="s">
        <v>89</v>
      </c>
      <c r="D72" s="21">
        <v>0</v>
      </c>
      <c r="E72" s="13"/>
      <c r="F72" s="16" t="s">
        <v>70</v>
      </c>
    </row>
    <row r="73" s="1" customFormat="1" ht="15.75" customHeight="1" spans="1:6">
      <c r="A73" s="19"/>
      <c r="B73" s="19">
        <v>18</v>
      </c>
      <c r="C73" s="20" t="s">
        <v>90</v>
      </c>
      <c r="D73" s="21">
        <v>50</v>
      </c>
      <c r="E73" s="13"/>
      <c r="F73" s="16" t="s">
        <v>70</v>
      </c>
    </row>
    <row r="74" s="1" customFormat="1" ht="15.75" customHeight="1" spans="1:6">
      <c r="A74" s="19"/>
      <c r="B74" s="19">
        <v>19</v>
      </c>
      <c r="C74" s="20" t="s">
        <v>91</v>
      </c>
      <c r="D74" s="21">
        <v>0</v>
      </c>
      <c r="E74" s="13"/>
      <c r="F74" s="16" t="s">
        <v>70</v>
      </c>
    </row>
    <row r="75" s="1" customFormat="1" ht="15.75" customHeight="1" spans="1:6">
      <c r="A75" s="19" t="s">
        <v>92</v>
      </c>
      <c r="B75" s="19">
        <v>1</v>
      </c>
      <c r="C75" s="20" t="s">
        <v>93</v>
      </c>
      <c r="D75" s="21">
        <v>100</v>
      </c>
      <c r="E75" s="15" t="s">
        <v>8</v>
      </c>
      <c r="F75" s="1" t="s">
        <v>9</v>
      </c>
    </row>
    <row r="76" s="1" customFormat="1" ht="15.75" customHeight="1" spans="1:6">
      <c r="A76" s="19"/>
      <c r="B76" s="19">
        <v>2</v>
      </c>
      <c r="C76" s="20" t="s">
        <v>94</v>
      </c>
      <c r="D76" s="21">
        <v>70</v>
      </c>
      <c r="E76" s="15" t="s">
        <v>11</v>
      </c>
      <c r="F76" s="1" t="s">
        <v>9</v>
      </c>
    </row>
    <row r="77" s="1" customFormat="1" ht="15.75" customHeight="1" spans="1:6">
      <c r="A77" s="19"/>
      <c r="B77" s="19">
        <v>3</v>
      </c>
      <c r="C77" s="20" t="s">
        <v>95</v>
      </c>
      <c r="D77" s="21">
        <v>100</v>
      </c>
      <c r="E77" s="15" t="s">
        <v>8</v>
      </c>
      <c r="F77" s="1" t="s">
        <v>14</v>
      </c>
    </row>
    <row r="78" s="1" customFormat="1" ht="15.75" customHeight="1" spans="1:6">
      <c r="A78" s="19"/>
      <c r="B78" s="19">
        <v>4</v>
      </c>
      <c r="C78" s="20" t="s">
        <v>96</v>
      </c>
      <c r="D78" s="21">
        <v>70</v>
      </c>
      <c r="E78" s="15" t="s">
        <v>11</v>
      </c>
      <c r="F78" s="1" t="s">
        <v>14</v>
      </c>
    </row>
    <row r="79" s="1" customFormat="1" ht="15.75" customHeight="1" spans="1:6">
      <c r="A79" s="19"/>
      <c r="B79" s="19">
        <v>5</v>
      </c>
      <c r="C79" s="20" t="s">
        <v>93</v>
      </c>
      <c r="D79" s="21">
        <v>100</v>
      </c>
      <c r="E79" s="15" t="s">
        <v>8</v>
      </c>
      <c r="F79" s="1" t="s">
        <v>20</v>
      </c>
    </row>
    <row r="80" s="1" customFormat="1" ht="15.75" customHeight="1" spans="1:6">
      <c r="A80" s="19"/>
      <c r="B80" s="19">
        <v>6</v>
      </c>
      <c r="C80" s="20" t="s">
        <v>97</v>
      </c>
      <c r="D80" s="21">
        <v>80</v>
      </c>
      <c r="E80" s="15" t="s">
        <v>11</v>
      </c>
      <c r="F80" s="1" t="s">
        <v>20</v>
      </c>
    </row>
    <row r="81" s="1" customFormat="1" ht="15.75" customHeight="1" spans="1:6">
      <c r="A81" s="19"/>
      <c r="B81" s="19">
        <v>7</v>
      </c>
      <c r="C81" s="20" t="s">
        <v>98</v>
      </c>
      <c r="D81" s="21">
        <v>80</v>
      </c>
      <c r="E81" s="15" t="s">
        <v>11</v>
      </c>
      <c r="F81" s="1" t="s">
        <v>20</v>
      </c>
    </row>
    <row r="82" s="1" customFormat="1" ht="15.75" customHeight="1" spans="1:6">
      <c r="A82" s="19" t="s">
        <v>99</v>
      </c>
      <c r="B82" s="19">
        <v>1</v>
      </c>
      <c r="C82" s="20" t="s">
        <v>100</v>
      </c>
      <c r="D82" s="21">
        <v>90</v>
      </c>
      <c r="E82" s="15" t="s">
        <v>11</v>
      </c>
      <c r="F82" s="1" t="s">
        <v>9</v>
      </c>
    </row>
    <row r="83" s="1" customFormat="1" ht="15.75" customHeight="1" spans="1:6">
      <c r="A83" s="19"/>
      <c r="B83" s="19">
        <v>2</v>
      </c>
      <c r="C83" s="20" t="s">
        <v>101</v>
      </c>
      <c r="D83" s="21">
        <v>80</v>
      </c>
      <c r="E83" s="15" t="s">
        <v>11</v>
      </c>
      <c r="F83" s="1" t="s">
        <v>9</v>
      </c>
    </row>
    <row r="84" s="1" customFormat="1" ht="15.75" customHeight="1" spans="1:6">
      <c r="A84" s="19"/>
      <c r="B84" s="19">
        <v>3</v>
      </c>
      <c r="C84" s="20" t="s">
        <v>102</v>
      </c>
      <c r="D84" s="21">
        <v>100</v>
      </c>
      <c r="E84" s="15" t="s">
        <v>8</v>
      </c>
      <c r="F84" s="1" t="s">
        <v>9</v>
      </c>
    </row>
    <row r="85" s="1" customFormat="1" ht="15.75" customHeight="1" spans="1:6">
      <c r="A85" s="19"/>
      <c r="B85" s="19">
        <v>4</v>
      </c>
      <c r="C85" s="20" t="s">
        <v>103</v>
      </c>
      <c r="D85" s="21">
        <v>100</v>
      </c>
      <c r="E85" s="15" t="s">
        <v>11</v>
      </c>
      <c r="F85" s="1" t="s">
        <v>9</v>
      </c>
    </row>
    <row r="86" s="1" customFormat="1" ht="15.75" customHeight="1" spans="1:6">
      <c r="A86" s="19"/>
      <c r="B86" s="19">
        <v>5</v>
      </c>
      <c r="C86" s="20" t="s">
        <v>102</v>
      </c>
      <c r="D86" s="21">
        <v>100</v>
      </c>
      <c r="E86" s="15" t="s">
        <v>8</v>
      </c>
      <c r="F86" s="1" t="s">
        <v>14</v>
      </c>
    </row>
    <row r="87" s="1" customFormat="1" ht="15.75" customHeight="1" spans="1:6">
      <c r="A87" s="19"/>
      <c r="B87" s="19">
        <v>6</v>
      </c>
      <c r="C87" s="20" t="s">
        <v>104</v>
      </c>
      <c r="D87" s="21">
        <v>90</v>
      </c>
      <c r="E87" s="15" t="s">
        <v>11</v>
      </c>
      <c r="F87" s="1" t="s">
        <v>14</v>
      </c>
    </row>
    <row r="88" s="1" customFormat="1" ht="15.75" customHeight="1" spans="1:6">
      <c r="A88" s="19"/>
      <c r="B88" s="19">
        <v>7</v>
      </c>
      <c r="C88" s="20" t="s">
        <v>105</v>
      </c>
      <c r="D88" s="21">
        <v>80</v>
      </c>
      <c r="E88" s="15" t="s">
        <v>11</v>
      </c>
      <c r="F88" s="1" t="s">
        <v>14</v>
      </c>
    </row>
    <row r="89" s="1" customFormat="1" ht="15.75" customHeight="1" spans="1:6">
      <c r="A89" s="19"/>
      <c r="B89" s="19">
        <v>8</v>
      </c>
      <c r="C89" s="20" t="s">
        <v>106</v>
      </c>
      <c r="D89" s="21">
        <v>100</v>
      </c>
      <c r="E89" s="15" t="s">
        <v>8</v>
      </c>
      <c r="F89" s="1" t="s">
        <v>14</v>
      </c>
    </row>
    <row r="90" s="1" customFormat="1" ht="15.75" customHeight="1" spans="1:6">
      <c r="A90" s="19"/>
      <c r="B90" s="19">
        <v>9</v>
      </c>
      <c r="C90" s="20" t="s">
        <v>107</v>
      </c>
      <c r="D90" s="21">
        <v>80</v>
      </c>
      <c r="E90" s="15" t="s">
        <v>11</v>
      </c>
      <c r="F90" s="1" t="s">
        <v>14</v>
      </c>
    </row>
    <row r="91" s="1" customFormat="1" ht="15.75" customHeight="1" spans="1:6">
      <c r="A91" s="19"/>
      <c r="B91" s="19">
        <v>10</v>
      </c>
      <c r="C91" s="20" t="s">
        <v>108</v>
      </c>
      <c r="D91" s="21">
        <v>100</v>
      </c>
      <c r="E91" s="15" t="s">
        <v>8</v>
      </c>
      <c r="F91" s="1" t="s">
        <v>20</v>
      </c>
    </row>
    <row r="92" s="1" customFormat="1" ht="15.75" customHeight="1" spans="1:6">
      <c r="A92" s="19"/>
      <c r="B92" s="19">
        <v>11</v>
      </c>
      <c r="C92" s="20" t="s">
        <v>109</v>
      </c>
      <c r="D92" s="21">
        <v>80</v>
      </c>
      <c r="E92" s="15" t="s">
        <v>11</v>
      </c>
      <c r="F92" s="1" t="s">
        <v>20</v>
      </c>
    </row>
    <row r="93" s="1" customFormat="1" ht="15.75" customHeight="1" spans="1:6">
      <c r="A93" s="19"/>
      <c r="B93" s="19">
        <v>12</v>
      </c>
      <c r="C93" s="20" t="s">
        <v>110</v>
      </c>
      <c r="D93" s="21">
        <v>70</v>
      </c>
      <c r="E93" s="13"/>
      <c r="F93" s="16" t="s">
        <v>70</v>
      </c>
    </row>
    <row r="94" s="1" customFormat="1" ht="15.75" customHeight="1" spans="1:6">
      <c r="A94" s="19" t="s">
        <v>111</v>
      </c>
      <c r="B94" s="19">
        <v>1</v>
      </c>
      <c r="C94" s="20" t="s">
        <v>112</v>
      </c>
      <c r="D94" s="21">
        <v>100</v>
      </c>
      <c r="E94" s="15" t="s">
        <v>8</v>
      </c>
      <c r="F94" s="1" t="s">
        <v>9</v>
      </c>
    </row>
    <row r="95" s="1" customFormat="1" ht="15.75" customHeight="1" spans="1:6">
      <c r="A95" s="19"/>
      <c r="B95" s="19">
        <v>2</v>
      </c>
      <c r="C95" s="20" t="s">
        <v>113</v>
      </c>
      <c r="D95" s="21">
        <v>100</v>
      </c>
      <c r="E95" s="15" t="s">
        <v>11</v>
      </c>
      <c r="F95" s="1" t="s">
        <v>9</v>
      </c>
    </row>
    <row r="96" s="1" customFormat="1" ht="15.75" customHeight="1" spans="1:6">
      <c r="A96" s="19"/>
      <c r="B96" s="19">
        <v>3</v>
      </c>
      <c r="C96" s="20" t="s">
        <v>114</v>
      </c>
      <c r="D96" s="21">
        <v>100</v>
      </c>
      <c r="E96" s="15" t="s">
        <v>11</v>
      </c>
      <c r="F96" s="1" t="s">
        <v>9</v>
      </c>
    </row>
    <row r="97" s="1" customFormat="1" ht="15.75" customHeight="1" spans="1:6">
      <c r="A97" s="19"/>
      <c r="B97" s="19">
        <v>4</v>
      </c>
      <c r="C97" s="20" t="s">
        <v>115</v>
      </c>
      <c r="D97" s="21">
        <v>100</v>
      </c>
      <c r="E97" s="15" t="s">
        <v>11</v>
      </c>
      <c r="F97" s="1" t="s">
        <v>9</v>
      </c>
    </row>
    <row r="98" s="1" customFormat="1" ht="15.75" customHeight="1" spans="1:6">
      <c r="A98" s="19"/>
      <c r="B98" s="19">
        <v>5</v>
      </c>
      <c r="C98" s="20" t="s">
        <v>116</v>
      </c>
      <c r="D98" s="21">
        <v>100</v>
      </c>
      <c r="E98" s="15" t="s">
        <v>11</v>
      </c>
      <c r="F98" s="1" t="s">
        <v>9</v>
      </c>
    </row>
    <row r="99" s="1" customFormat="1" ht="15.75" customHeight="1" spans="1:6">
      <c r="A99" s="19"/>
      <c r="B99" s="19">
        <v>6</v>
      </c>
      <c r="C99" s="20" t="s">
        <v>117</v>
      </c>
      <c r="D99" s="21">
        <v>100</v>
      </c>
      <c r="E99" s="15" t="s">
        <v>11</v>
      </c>
      <c r="F99" s="1" t="s">
        <v>14</v>
      </c>
    </row>
    <row r="100" s="1" customFormat="1" ht="15.75" customHeight="1" spans="1:6">
      <c r="A100" s="19"/>
      <c r="B100" s="19">
        <v>7</v>
      </c>
      <c r="C100" s="20" t="s">
        <v>118</v>
      </c>
      <c r="D100" s="21">
        <v>100</v>
      </c>
      <c r="E100" s="15" t="s">
        <v>8</v>
      </c>
      <c r="F100" s="1" t="s">
        <v>14</v>
      </c>
    </row>
    <row r="101" s="1" customFormat="1" ht="15.75" customHeight="1" spans="1:6">
      <c r="A101" s="19"/>
      <c r="B101" s="19">
        <v>8</v>
      </c>
      <c r="C101" s="20" t="s">
        <v>119</v>
      </c>
      <c r="D101" s="21">
        <v>90</v>
      </c>
      <c r="E101" s="15" t="s">
        <v>11</v>
      </c>
      <c r="F101" s="1" t="s">
        <v>20</v>
      </c>
    </row>
    <row r="102" s="1" customFormat="1" ht="15.75" customHeight="1" spans="1:6">
      <c r="A102" s="19"/>
      <c r="B102" s="19">
        <v>9</v>
      </c>
      <c r="C102" s="20" t="s">
        <v>120</v>
      </c>
      <c r="D102" s="21">
        <v>100</v>
      </c>
      <c r="E102" s="15" t="s">
        <v>8</v>
      </c>
      <c r="F102" s="1" t="s">
        <v>20</v>
      </c>
    </row>
    <row r="103" s="1" customFormat="1" ht="15.75" customHeight="1" spans="1:6">
      <c r="A103" s="19"/>
      <c r="B103" s="19">
        <v>10</v>
      </c>
      <c r="C103" s="20" t="s">
        <v>121</v>
      </c>
      <c r="D103" s="21">
        <v>100</v>
      </c>
      <c r="E103" s="15" t="s">
        <v>11</v>
      </c>
      <c r="F103" s="1" t="s">
        <v>20</v>
      </c>
    </row>
    <row r="104" s="1" customFormat="1" ht="15.75" customHeight="1" spans="1:6">
      <c r="A104" s="19" t="s">
        <v>122</v>
      </c>
      <c r="B104" s="19">
        <v>1</v>
      </c>
      <c r="C104" s="20" t="s">
        <v>123</v>
      </c>
      <c r="D104" s="21">
        <v>90</v>
      </c>
      <c r="E104" s="15" t="s">
        <v>8</v>
      </c>
      <c r="F104" s="1" t="s">
        <v>9</v>
      </c>
    </row>
    <row r="105" s="1" customFormat="1" ht="15.75" customHeight="1" spans="1:6">
      <c r="A105" s="19"/>
      <c r="B105" s="19">
        <v>2</v>
      </c>
      <c r="C105" s="20" t="s">
        <v>124</v>
      </c>
      <c r="D105" s="21">
        <v>100</v>
      </c>
      <c r="E105" s="15" t="s">
        <v>11</v>
      </c>
      <c r="F105" s="1" t="s">
        <v>9</v>
      </c>
    </row>
    <row r="106" s="1" customFormat="1" ht="15.75" customHeight="1" spans="1:6">
      <c r="A106" s="19"/>
      <c r="B106" s="19">
        <v>3</v>
      </c>
      <c r="C106" s="20" t="s">
        <v>125</v>
      </c>
      <c r="D106" s="21">
        <v>60</v>
      </c>
      <c r="E106" s="15" t="s">
        <v>11</v>
      </c>
      <c r="F106" s="1" t="s">
        <v>9</v>
      </c>
    </row>
    <row r="107" s="1" customFormat="1" ht="15.75" customHeight="1" spans="1:6">
      <c r="A107" s="19"/>
      <c r="B107" s="19">
        <v>4</v>
      </c>
      <c r="C107" s="20" t="s">
        <v>126</v>
      </c>
      <c r="D107" s="21">
        <v>80</v>
      </c>
      <c r="E107" s="15" t="s">
        <v>11</v>
      </c>
      <c r="F107" s="1" t="s">
        <v>9</v>
      </c>
    </row>
    <row r="108" s="1" customFormat="1" ht="15.75" customHeight="1" spans="1:6">
      <c r="A108" s="19"/>
      <c r="B108" s="19">
        <v>5</v>
      </c>
      <c r="C108" s="20" t="s">
        <v>127</v>
      </c>
      <c r="D108" s="21">
        <v>50</v>
      </c>
      <c r="E108" s="15" t="s">
        <v>11</v>
      </c>
      <c r="F108" s="1" t="s">
        <v>9</v>
      </c>
    </row>
    <row r="109" s="1" customFormat="1" ht="15.75" customHeight="1" spans="1:6">
      <c r="A109" s="19"/>
      <c r="B109" s="19">
        <v>6</v>
      </c>
      <c r="C109" s="20" t="s">
        <v>128</v>
      </c>
      <c r="D109" s="21">
        <v>70</v>
      </c>
      <c r="E109" s="15" t="s">
        <v>11</v>
      </c>
      <c r="F109" s="1" t="s">
        <v>14</v>
      </c>
    </row>
    <row r="110" s="1" customFormat="1" ht="15.75" customHeight="1" spans="1:6">
      <c r="A110" s="19"/>
      <c r="B110" s="19">
        <v>7</v>
      </c>
      <c r="C110" s="20" t="s">
        <v>129</v>
      </c>
      <c r="D110" s="21">
        <v>100</v>
      </c>
      <c r="E110" s="15" t="s">
        <v>8</v>
      </c>
      <c r="F110" s="1" t="s">
        <v>14</v>
      </c>
    </row>
    <row r="111" s="1" customFormat="1" ht="15.75" customHeight="1" spans="1:6">
      <c r="A111" s="19"/>
      <c r="B111" s="19">
        <v>8</v>
      </c>
      <c r="C111" s="20" t="s">
        <v>126</v>
      </c>
      <c r="D111" s="21">
        <v>90</v>
      </c>
      <c r="E111" s="15" t="s">
        <v>11</v>
      </c>
      <c r="F111" s="1" t="s">
        <v>14</v>
      </c>
    </row>
    <row r="112" s="1" customFormat="1" ht="15.75" customHeight="1" spans="1:6">
      <c r="A112" s="19"/>
      <c r="B112" s="19">
        <v>9</v>
      </c>
      <c r="C112" s="20" t="s">
        <v>130</v>
      </c>
      <c r="D112" s="21">
        <v>90</v>
      </c>
      <c r="E112" s="15" t="s">
        <v>8</v>
      </c>
      <c r="F112" s="1" t="s">
        <v>20</v>
      </c>
    </row>
    <row r="113" s="1" customFormat="1" ht="15.75" customHeight="1" spans="1:6">
      <c r="A113" s="19"/>
      <c r="B113" s="19">
        <v>10</v>
      </c>
      <c r="C113" s="20" t="s">
        <v>131</v>
      </c>
      <c r="D113" s="21">
        <v>90</v>
      </c>
      <c r="E113" s="15" t="s">
        <v>11</v>
      </c>
      <c r="F113" s="1" t="s">
        <v>20</v>
      </c>
    </row>
    <row r="114" s="1" customFormat="1" ht="15.75" customHeight="1" spans="1:6">
      <c r="A114" s="19"/>
      <c r="B114" s="19">
        <v>11</v>
      </c>
      <c r="C114" s="20" t="s">
        <v>132</v>
      </c>
      <c r="D114" s="21">
        <v>80</v>
      </c>
      <c r="E114" s="15" t="s">
        <v>11</v>
      </c>
      <c r="F114" s="1" t="s">
        <v>20</v>
      </c>
    </row>
    <row r="115" s="1" customFormat="1" ht="15.75" customHeight="1" spans="1:6">
      <c r="A115" s="19"/>
      <c r="B115" s="19">
        <v>12</v>
      </c>
      <c r="C115" s="20" t="s">
        <v>133</v>
      </c>
      <c r="D115" s="21">
        <v>0</v>
      </c>
      <c r="E115" s="13"/>
      <c r="F115" s="16" t="s">
        <v>70</v>
      </c>
    </row>
    <row r="116" s="1" customFormat="1" ht="15.75" customHeight="1" spans="1:6">
      <c r="A116" s="19"/>
      <c r="B116" s="19">
        <v>13</v>
      </c>
      <c r="C116" s="20" t="s">
        <v>134</v>
      </c>
      <c r="D116" s="21">
        <v>60</v>
      </c>
      <c r="E116" s="13"/>
      <c r="F116" s="16" t="s">
        <v>70</v>
      </c>
    </row>
    <row r="117" s="1" customFormat="1" ht="15.75" customHeight="1" spans="1:6">
      <c r="A117" s="19"/>
      <c r="B117" s="19">
        <v>14</v>
      </c>
      <c r="C117" s="20" t="s">
        <v>135</v>
      </c>
      <c r="D117" s="21">
        <v>50</v>
      </c>
      <c r="E117" s="13"/>
      <c r="F117" s="16" t="s">
        <v>70</v>
      </c>
    </row>
    <row r="118" s="1" customFormat="1" ht="15.75" customHeight="1" spans="1:6">
      <c r="A118" s="19" t="s">
        <v>136</v>
      </c>
      <c r="B118" s="19">
        <v>1</v>
      </c>
      <c r="C118" s="20" t="s">
        <v>137</v>
      </c>
      <c r="D118" s="21">
        <v>90</v>
      </c>
      <c r="E118" s="15" t="s">
        <v>8</v>
      </c>
      <c r="F118" s="1" t="s">
        <v>20</v>
      </c>
    </row>
    <row r="119" s="1" customFormat="1" ht="15.75" customHeight="1" spans="1:6">
      <c r="A119" s="19"/>
      <c r="B119" s="19">
        <v>2</v>
      </c>
      <c r="C119" s="20" t="s">
        <v>138</v>
      </c>
      <c r="D119" s="21">
        <v>0</v>
      </c>
      <c r="E119" s="15"/>
      <c r="F119" s="1" t="s">
        <v>70</v>
      </c>
    </row>
    <row r="120" s="1" customFormat="1" ht="15.75" customHeight="1" spans="1:6">
      <c r="A120" s="19"/>
      <c r="B120" s="19">
        <v>3</v>
      </c>
      <c r="C120" s="20" t="s">
        <v>139</v>
      </c>
      <c r="D120" s="21">
        <v>0</v>
      </c>
      <c r="E120" s="15"/>
      <c r="F120" s="1" t="s">
        <v>70</v>
      </c>
    </row>
    <row r="121" s="1" customFormat="1" ht="15.75" customHeight="1" spans="1:6">
      <c r="A121" s="19"/>
      <c r="B121" s="19">
        <v>4</v>
      </c>
      <c r="C121" s="20" t="s">
        <v>140</v>
      </c>
      <c r="D121" s="21">
        <v>70</v>
      </c>
      <c r="E121" s="15"/>
      <c r="F121" s="1" t="s">
        <v>70</v>
      </c>
    </row>
    <row r="122" s="1" customFormat="1" ht="15.75" customHeight="1" spans="1:6">
      <c r="A122" s="19"/>
      <c r="B122" s="19">
        <v>5</v>
      </c>
      <c r="C122" s="20" t="s">
        <v>141</v>
      </c>
      <c r="D122" s="21">
        <v>25</v>
      </c>
      <c r="E122" s="15"/>
      <c r="F122" s="1" t="s">
        <v>70</v>
      </c>
    </row>
    <row r="123" s="1" customFormat="1" ht="15.75" customHeight="1" spans="1:6">
      <c r="A123" s="19"/>
      <c r="B123" s="19">
        <v>6</v>
      </c>
      <c r="C123" s="20" t="s">
        <v>142</v>
      </c>
      <c r="D123" s="21">
        <v>0</v>
      </c>
      <c r="E123" s="15"/>
      <c r="F123" s="1" t="s">
        <v>70</v>
      </c>
    </row>
    <row r="124" s="1" customFormat="1" ht="15.75" customHeight="1" spans="1:6">
      <c r="A124" s="19"/>
      <c r="B124" s="19">
        <v>7</v>
      </c>
      <c r="C124" s="20" t="s">
        <v>143</v>
      </c>
      <c r="D124" s="21">
        <v>0</v>
      </c>
      <c r="E124" s="15"/>
      <c r="F124" s="1" t="s">
        <v>70</v>
      </c>
    </row>
    <row r="125" s="1" customFormat="1" ht="15.75" customHeight="1" spans="1:6">
      <c r="A125" s="19"/>
      <c r="B125" s="19">
        <v>8</v>
      </c>
      <c r="C125" s="20" t="s">
        <v>144</v>
      </c>
      <c r="D125" s="21">
        <v>80</v>
      </c>
      <c r="E125" s="15" t="s">
        <v>11</v>
      </c>
      <c r="F125" s="1" t="s">
        <v>20</v>
      </c>
    </row>
    <row r="126" s="1" customFormat="1" ht="15.75" customHeight="1" spans="1:6">
      <c r="A126" s="19"/>
      <c r="B126" s="19">
        <v>9</v>
      </c>
      <c r="C126" s="20" t="s">
        <v>145</v>
      </c>
      <c r="D126" s="21">
        <v>100</v>
      </c>
      <c r="E126" s="15" t="s">
        <v>11</v>
      </c>
      <c r="F126" s="1" t="s">
        <v>9</v>
      </c>
    </row>
    <row r="127" s="1" customFormat="1" ht="15.75" customHeight="1" spans="1:6">
      <c r="A127" s="19"/>
      <c r="B127" s="19">
        <v>10</v>
      </c>
      <c r="C127" s="22" t="s">
        <v>146</v>
      </c>
      <c r="D127" s="21">
        <v>25</v>
      </c>
      <c r="E127" s="13"/>
      <c r="F127" s="16" t="s">
        <v>70</v>
      </c>
    </row>
    <row r="128" s="1" customFormat="1" ht="15.75" customHeight="1" spans="1:6">
      <c r="A128" s="19"/>
      <c r="B128" s="19">
        <v>11</v>
      </c>
      <c r="C128" s="22" t="s">
        <v>147</v>
      </c>
      <c r="D128" s="21">
        <v>80</v>
      </c>
      <c r="E128" s="13" t="s">
        <v>11</v>
      </c>
      <c r="F128" s="16" t="s">
        <v>9</v>
      </c>
    </row>
    <row r="129" s="1" customFormat="1" ht="15.75" customHeight="1" spans="1:6">
      <c r="A129" s="19"/>
      <c r="B129" s="19">
        <v>12</v>
      </c>
      <c r="C129" s="22" t="s">
        <v>148</v>
      </c>
      <c r="D129" s="21">
        <v>80</v>
      </c>
      <c r="E129" s="13" t="s">
        <v>11</v>
      </c>
      <c r="F129" s="16" t="s">
        <v>14</v>
      </c>
    </row>
    <row r="130" s="1" customFormat="1" ht="15.75" customHeight="1" spans="1:6">
      <c r="A130" s="19"/>
      <c r="B130" s="19">
        <v>13</v>
      </c>
      <c r="C130" s="22" t="s">
        <v>149</v>
      </c>
      <c r="D130" s="21">
        <v>80</v>
      </c>
      <c r="E130" s="13" t="s">
        <v>11</v>
      </c>
      <c r="F130" s="16" t="s">
        <v>20</v>
      </c>
    </row>
    <row r="131" s="1" customFormat="1" ht="15.75" customHeight="1" spans="1:6">
      <c r="A131" s="19"/>
      <c r="B131" s="19">
        <v>14</v>
      </c>
      <c r="C131" s="22" t="s">
        <v>145</v>
      </c>
      <c r="D131" s="21">
        <v>100</v>
      </c>
      <c r="E131" s="13" t="s">
        <v>8</v>
      </c>
      <c r="F131" s="16" t="s">
        <v>9</v>
      </c>
    </row>
    <row r="132" s="1" customFormat="1" ht="15.75" customHeight="1" spans="1:6">
      <c r="A132" s="19"/>
      <c r="B132" s="19">
        <v>15</v>
      </c>
      <c r="C132" s="22" t="s">
        <v>150</v>
      </c>
      <c r="D132" s="21">
        <v>80</v>
      </c>
      <c r="E132" s="13"/>
      <c r="F132" s="16" t="s">
        <v>70</v>
      </c>
    </row>
    <row r="133" s="1" customFormat="1" ht="15.75" customHeight="1" spans="1:6">
      <c r="A133" s="19"/>
      <c r="B133" s="19">
        <v>16</v>
      </c>
      <c r="C133" s="22" t="s">
        <v>151</v>
      </c>
      <c r="D133" s="21">
        <v>70</v>
      </c>
      <c r="E133" s="13"/>
      <c r="F133" s="16" t="s">
        <v>70</v>
      </c>
    </row>
    <row r="134" s="1" customFormat="1" ht="15.75" customHeight="1" spans="1:6">
      <c r="A134" s="19"/>
      <c r="B134" s="19">
        <v>17</v>
      </c>
      <c r="C134" s="22" t="s">
        <v>152</v>
      </c>
      <c r="D134" s="21">
        <v>0</v>
      </c>
      <c r="E134" s="13"/>
      <c r="F134" s="16" t="s">
        <v>70</v>
      </c>
    </row>
    <row r="135" s="1" customFormat="1" ht="15.75" customHeight="1" spans="1:6">
      <c r="A135" s="19"/>
      <c r="B135" s="19">
        <v>18</v>
      </c>
      <c r="C135" s="22" t="s">
        <v>153</v>
      </c>
      <c r="D135" s="21">
        <v>50</v>
      </c>
      <c r="E135" s="13"/>
      <c r="F135" s="16" t="s">
        <v>70</v>
      </c>
    </row>
    <row r="136" s="1" customFormat="1" ht="15.75" customHeight="1" spans="1:6">
      <c r="A136" s="19"/>
      <c r="B136" s="19">
        <v>19</v>
      </c>
      <c r="C136" s="22" t="s">
        <v>141</v>
      </c>
      <c r="D136" s="21">
        <v>25</v>
      </c>
      <c r="E136" s="13"/>
      <c r="F136" s="16" t="s">
        <v>70</v>
      </c>
    </row>
    <row r="137" s="1" customFormat="1" ht="15.75" customHeight="1" spans="1:6">
      <c r="A137" s="19"/>
      <c r="B137" s="19">
        <v>20</v>
      </c>
      <c r="C137" s="22" t="s">
        <v>154</v>
      </c>
      <c r="D137" s="21">
        <v>0</v>
      </c>
      <c r="E137" s="13"/>
      <c r="F137" s="16" t="s">
        <v>70</v>
      </c>
    </row>
    <row r="138" s="1" customFormat="1" ht="15.75" customHeight="1" spans="1:6">
      <c r="A138" s="19"/>
      <c r="B138" s="19">
        <v>21</v>
      </c>
      <c r="C138" s="20" t="s">
        <v>150</v>
      </c>
      <c r="D138" s="21">
        <v>70</v>
      </c>
      <c r="E138" s="13"/>
      <c r="F138" s="16" t="s">
        <v>70</v>
      </c>
    </row>
    <row r="139" s="1" customFormat="1" ht="15.75" customHeight="1" spans="1:6">
      <c r="A139" s="19"/>
      <c r="B139" s="19">
        <v>22</v>
      </c>
      <c r="C139" s="20" t="s">
        <v>155</v>
      </c>
      <c r="D139" s="21">
        <v>100</v>
      </c>
      <c r="E139" s="13" t="s">
        <v>11</v>
      </c>
      <c r="F139" s="16" t="s">
        <v>14</v>
      </c>
    </row>
    <row r="140" s="1" customFormat="1" ht="15.75" customHeight="1" spans="1:6">
      <c r="A140" s="19"/>
      <c r="B140" s="19">
        <v>23</v>
      </c>
      <c r="C140" s="20" t="s">
        <v>156</v>
      </c>
      <c r="D140" s="21">
        <v>100</v>
      </c>
      <c r="E140" s="13" t="s">
        <v>8</v>
      </c>
      <c r="F140" s="16" t="s">
        <v>14</v>
      </c>
    </row>
    <row r="141" s="1" customFormat="1" ht="15.75" customHeight="1" spans="1:6">
      <c r="A141" s="19"/>
      <c r="B141" s="19">
        <v>24</v>
      </c>
      <c r="C141" s="20" t="s">
        <v>157</v>
      </c>
      <c r="D141" s="21">
        <v>25</v>
      </c>
      <c r="E141" s="13"/>
      <c r="F141" s="16" t="s">
        <v>70</v>
      </c>
    </row>
    <row r="142" s="1" customFormat="1" ht="15.75" customHeight="1" spans="1:6">
      <c r="A142" s="19" t="s">
        <v>158</v>
      </c>
      <c r="B142" s="19">
        <v>1</v>
      </c>
      <c r="C142" s="20" t="s">
        <v>159</v>
      </c>
      <c r="D142" s="21">
        <v>100</v>
      </c>
      <c r="E142" s="15" t="s">
        <v>11</v>
      </c>
      <c r="F142" s="1" t="s">
        <v>20</v>
      </c>
    </row>
    <row r="143" s="1" customFormat="1" ht="15.75" customHeight="1" spans="1:6">
      <c r="A143" s="19"/>
      <c r="B143" s="19">
        <v>2</v>
      </c>
      <c r="C143" s="20" t="s">
        <v>160</v>
      </c>
      <c r="D143" s="21">
        <v>80</v>
      </c>
      <c r="E143" s="15"/>
      <c r="F143" s="1" t="s">
        <v>70</v>
      </c>
    </row>
    <row r="144" s="1" customFormat="1" ht="15.75" customHeight="1" spans="1:6">
      <c r="A144" s="19"/>
      <c r="B144" s="19">
        <v>3</v>
      </c>
      <c r="C144" s="20" t="s">
        <v>161</v>
      </c>
      <c r="D144" s="21">
        <v>0</v>
      </c>
      <c r="E144" s="15"/>
      <c r="F144" s="1" t="s">
        <v>70</v>
      </c>
    </row>
    <row r="145" s="1" customFormat="1" ht="15.75" customHeight="1" spans="1:6">
      <c r="A145" s="19"/>
      <c r="B145" s="19">
        <v>4</v>
      </c>
      <c r="C145" s="20" t="s">
        <v>162</v>
      </c>
      <c r="D145" s="21">
        <v>50</v>
      </c>
      <c r="E145" s="15"/>
      <c r="F145" s="1" t="s">
        <v>70</v>
      </c>
    </row>
    <row r="146" s="1" customFormat="1" ht="15.75" customHeight="1" spans="1:6">
      <c r="A146" s="19"/>
      <c r="B146" s="19">
        <v>5</v>
      </c>
      <c r="C146" s="20" t="s">
        <v>163</v>
      </c>
      <c r="D146" s="21">
        <v>25</v>
      </c>
      <c r="E146" s="15"/>
      <c r="F146" s="1" t="s">
        <v>70</v>
      </c>
    </row>
    <row r="147" s="1" customFormat="1" ht="15.75" customHeight="1" spans="1:6">
      <c r="A147" s="19"/>
      <c r="B147" s="19">
        <v>6</v>
      </c>
      <c r="C147" s="20" t="s">
        <v>164</v>
      </c>
      <c r="D147" s="21">
        <v>90</v>
      </c>
      <c r="E147" s="15"/>
      <c r="F147" s="1" t="s">
        <v>70</v>
      </c>
    </row>
    <row r="148" s="1" customFormat="1" ht="15.75" customHeight="1" spans="1:6">
      <c r="A148" s="19"/>
      <c r="B148" s="19">
        <v>7</v>
      </c>
      <c r="C148" s="20" t="s">
        <v>165</v>
      </c>
      <c r="D148" s="21">
        <v>50</v>
      </c>
      <c r="E148" s="15"/>
      <c r="F148" s="1" t="s">
        <v>70</v>
      </c>
    </row>
    <row r="149" s="1" customFormat="1" ht="15.75" customHeight="1" spans="1:6">
      <c r="A149" s="19"/>
      <c r="B149" s="19">
        <v>8</v>
      </c>
      <c r="C149" s="20" t="s">
        <v>153</v>
      </c>
      <c r="D149" s="21">
        <v>60</v>
      </c>
      <c r="E149" s="15"/>
      <c r="F149" s="1" t="s">
        <v>70</v>
      </c>
    </row>
    <row r="150" s="1" customFormat="1" ht="15.75" customHeight="1" spans="1:6">
      <c r="A150" s="19"/>
      <c r="B150" s="19">
        <v>9</v>
      </c>
      <c r="C150" s="20" t="s">
        <v>166</v>
      </c>
      <c r="D150" s="21">
        <v>80</v>
      </c>
      <c r="E150" s="15" t="s">
        <v>11</v>
      </c>
      <c r="F150" s="1" t="s">
        <v>9</v>
      </c>
    </row>
    <row r="151" s="1" customFormat="1" ht="15.75" customHeight="1" spans="1:6">
      <c r="A151" s="19"/>
      <c r="B151" s="19">
        <v>10</v>
      </c>
      <c r="C151" s="22" t="s">
        <v>167</v>
      </c>
      <c r="D151" s="21">
        <v>80</v>
      </c>
      <c r="E151" s="13" t="s">
        <v>11</v>
      </c>
      <c r="F151" s="16" t="s">
        <v>9</v>
      </c>
    </row>
    <row r="152" s="1" customFormat="1" ht="15.75" customHeight="1" spans="1:6">
      <c r="A152" s="19"/>
      <c r="B152" s="19">
        <v>11</v>
      </c>
      <c r="C152" s="22" t="s">
        <v>168</v>
      </c>
      <c r="D152" s="21">
        <v>90</v>
      </c>
      <c r="E152" s="13" t="s">
        <v>8</v>
      </c>
      <c r="F152" s="16" t="s">
        <v>14</v>
      </c>
    </row>
    <row r="153" s="1" customFormat="1" ht="15.75" customHeight="1" spans="1:6">
      <c r="A153" s="19"/>
      <c r="B153" s="19">
        <v>12</v>
      </c>
      <c r="C153" s="22" t="s">
        <v>169</v>
      </c>
      <c r="D153" s="21">
        <v>100</v>
      </c>
      <c r="E153" s="13" t="s">
        <v>8</v>
      </c>
      <c r="F153" s="16" t="s">
        <v>9</v>
      </c>
    </row>
    <row r="154" s="1" customFormat="1" ht="15.75" customHeight="1" spans="1:6">
      <c r="A154" s="19"/>
      <c r="B154" s="19">
        <v>13</v>
      </c>
      <c r="C154" s="22" t="s">
        <v>152</v>
      </c>
      <c r="D154" s="21">
        <v>25</v>
      </c>
      <c r="E154" s="13"/>
      <c r="F154" s="16" t="s">
        <v>70</v>
      </c>
    </row>
    <row r="155" s="1" customFormat="1" ht="15.75" customHeight="1" spans="1:6">
      <c r="A155" s="19"/>
      <c r="B155" s="19">
        <v>14</v>
      </c>
      <c r="C155" s="22" t="s">
        <v>170</v>
      </c>
      <c r="D155" s="21">
        <v>25</v>
      </c>
      <c r="E155" s="13"/>
      <c r="F155" s="16" t="s">
        <v>70</v>
      </c>
    </row>
    <row r="156" s="1" customFormat="1" ht="15.75" customHeight="1" spans="1:6">
      <c r="A156" s="19"/>
      <c r="B156" s="19">
        <v>15</v>
      </c>
      <c r="C156" s="22" t="s">
        <v>171</v>
      </c>
      <c r="D156" s="21">
        <v>40</v>
      </c>
      <c r="E156" s="13"/>
      <c r="F156" s="16" t="s">
        <v>70</v>
      </c>
    </row>
    <row r="157" s="1" customFormat="1" ht="15.75" customHeight="1" spans="1:6">
      <c r="A157" s="19"/>
      <c r="B157" s="19">
        <v>16</v>
      </c>
      <c r="C157" s="22" t="s">
        <v>172</v>
      </c>
      <c r="D157" s="21">
        <v>90</v>
      </c>
      <c r="E157" s="13" t="s">
        <v>8</v>
      </c>
      <c r="F157" s="16" t="s">
        <v>20</v>
      </c>
    </row>
    <row r="158" s="1" customFormat="1" ht="15.75" customHeight="1" spans="1:6">
      <c r="A158" s="19"/>
      <c r="B158" s="19">
        <v>17</v>
      </c>
      <c r="C158" s="22" t="s">
        <v>173</v>
      </c>
      <c r="D158" s="21">
        <v>70</v>
      </c>
      <c r="E158" s="13"/>
      <c r="F158" s="16" t="s">
        <v>70</v>
      </c>
    </row>
    <row r="159" s="1" customFormat="1" ht="15.75" customHeight="1" spans="1:6">
      <c r="A159" s="19"/>
      <c r="B159" s="19">
        <v>18</v>
      </c>
      <c r="C159" s="22" t="s">
        <v>174</v>
      </c>
      <c r="D159" s="21">
        <v>60</v>
      </c>
      <c r="E159" s="13"/>
      <c r="F159" s="16" t="s">
        <v>70</v>
      </c>
    </row>
    <row r="160" s="1" customFormat="1" ht="15.75" customHeight="1" spans="1:6">
      <c r="A160" s="19"/>
      <c r="B160" s="19">
        <v>19</v>
      </c>
      <c r="C160" s="22" t="s">
        <v>175</v>
      </c>
      <c r="D160" s="21">
        <v>100</v>
      </c>
      <c r="E160" s="13" t="s">
        <v>8</v>
      </c>
      <c r="F160" s="16" t="s">
        <v>9</v>
      </c>
    </row>
    <row r="161" s="1" customFormat="1" ht="15.75" customHeight="1" spans="1:6">
      <c r="A161" s="19"/>
      <c r="B161" s="19">
        <v>20</v>
      </c>
      <c r="C161" s="22" t="s">
        <v>176</v>
      </c>
      <c r="D161" s="21">
        <v>75</v>
      </c>
      <c r="E161" s="13" t="s">
        <v>11</v>
      </c>
      <c r="F161" s="16" t="s">
        <v>14</v>
      </c>
    </row>
    <row r="162" s="1" customFormat="1" ht="15.75" customHeight="1" spans="1:6">
      <c r="A162" s="19"/>
      <c r="B162" s="19">
        <v>21</v>
      </c>
      <c r="C162" s="22" t="s">
        <v>177</v>
      </c>
      <c r="D162" s="21">
        <v>80</v>
      </c>
      <c r="E162" s="13" t="s">
        <v>11</v>
      </c>
      <c r="F162" s="16" t="s">
        <v>14</v>
      </c>
    </row>
    <row r="163" s="1" customFormat="1" ht="15.75" customHeight="1" spans="1:6">
      <c r="A163" s="19"/>
      <c r="B163" s="19">
        <v>22</v>
      </c>
      <c r="C163" s="9" t="s">
        <v>178</v>
      </c>
      <c r="D163" s="21">
        <v>25</v>
      </c>
      <c r="E163" s="13"/>
      <c r="F163" s="16" t="s">
        <v>70</v>
      </c>
    </row>
    <row r="164" s="1" customFormat="1" ht="15.75" customHeight="1" spans="1:6">
      <c r="A164" s="19"/>
      <c r="B164" s="19">
        <v>23</v>
      </c>
      <c r="C164" s="9" t="s">
        <v>179</v>
      </c>
      <c r="D164" s="21">
        <v>50</v>
      </c>
      <c r="E164" s="13"/>
      <c r="F164" s="16" t="s">
        <v>70</v>
      </c>
    </row>
    <row r="165" s="1" customFormat="1" ht="15.75" customHeight="1" spans="1:6">
      <c r="A165" s="19"/>
      <c r="B165" s="19">
        <v>24</v>
      </c>
      <c r="C165" s="9" t="s">
        <v>180</v>
      </c>
      <c r="D165" s="21">
        <v>25</v>
      </c>
      <c r="E165" s="13"/>
      <c r="F165" s="16" t="s">
        <v>70</v>
      </c>
    </row>
    <row r="166" s="1" customFormat="1" ht="15.75" customHeight="1" spans="1:6">
      <c r="A166" s="19" t="s">
        <v>181</v>
      </c>
      <c r="B166" s="19">
        <v>1</v>
      </c>
      <c r="C166" s="20" t="s">
        <v>182</v>
      </c>
      <c r="D166" s="21">
        <v>50</v>
      </c>
      <c r="E166" s="15"/>
      <c r="F166" s="1" t="s">
        <v>70</v>
      </c>
    </row>
    <row r="167" s="1" customFormat="1" ht="15.75" customHeight="1" spans="1:6">
      <c r="A167" s="19"/>
      <c r="B167" s="19">
        <v>2</v>
      </c>
      <c r="C167" s="20" t="s">
        <v>183</v>
      </c>
      <c r="D167" s="21">
        <v>90</v>
      </c>
      <c r="E167" s="15" t="s">
        <v>11</v>
      </c>
      <c r="F167" s="1" t="s">
        <v>9</v>
      </c>
    </row>
    <row r="168" s="1" customFormat="1" ht="15.75" customHeight="1" spans="1:6">
      <c r="A168" s="19"/>
      <c r="B168" s="19">
        <v>3</v>
      </c>
      <c r="C168" s="20" t="s">
        <v>184</v>
      </c>
      <c r="D168" s="21">
        <v>75</v>
      </c>
      <c r="E168" s="15" t="s">
        <v>11</v>
      </c>
      <c r="F168" s="1" t="s">
        <v>9</v>
      </c>
    </row>
    <row r="169" s="1" customFormat="1" ht="15.75" customHeight="1" spans="1:6">
      <c r="A169" s="19"/>
      <c r="B169" s="19">
        <v>4</v>
      </c>
      <c r="C169" s="20" t="s">
        <v>185</v>
      </c>
      <c r="D169" s="21">
        <v>90</v>
      </c>
      <c r="E169" s="15"/>
      <c r="F169" s="1" t="s">
        <v>70</v>
      </c>
    </row>
    <row r="170" s="1" customFormat="1" ht="15.75" customHeight="1" spans="1:6">
      <c r="A170" s="19"/>
      <c r="B170" s="19">
        <v>5</v>
      </c>
      <c r="C170" s="20" t="s">
        <v>186</v>
      </c>
      <c r="D170" s="21">
        <v>90</v>
      </c>
      <c r="E170" s="15"/>
      <c r="F170" s="1" t="s">
        <v>70</v>
      </c>
    </row>
    <row r="171" s="1" customFormat="1" ht="15.75" customHeight="1" spans="1:6">
      <c r="A171" s="19"/>
      <c r="B171" s="19">
        <v>6</v>
      </c>
      <c r="C171" s="20" t="s">
        <v>187</v>
      </c>
      <c r="D171" s="21">
        <v>80</v>
      </c>
      <c r="E171" s="15"/>
      <c r="F171" s="1" t="s">
        <v>70</v>
      </c>
    </row>
    <row r="172" s="1" customFormat="1" ht="15.75" customHeight="1" spans="1:6">
      <c r="A172" s="19"/>
      <c r="B172" s="19">
        <v>7</v>
      </c>
      <c r="C172" s="20" t="s">
        <v>188</v>
      </c>
      <c r="D172" s="21">
        <v>80</v>
      </c>
      <c r="E172" s="15"/>
      <c r="F172" s="1" t="s">
        <v>70</v>
      </c>
    </row>
    <row r="173" s="1" customFormat="1" ht="15.75" customHeight="1" spans="1:6">
      <c r="A173" s="19"/>
      <c r="B173" s="19">
        <v>8</v>
      </c>
      <c r="C173" s="20" t="s">
        <v>189</v>
      </c>
      <c r="D173" s="21">
        <v>100</v>
      </c>
      <c r="E173" s="15" t="s">
        <v>11</v>
      </c>
      <c r="F173" s="1" t="s">
        <v>14</v>
      </c>
    </row>
    <row r="174" s="1" customFormat="1" ht="15.75" customHeight="1" spans="1:6">
      <c r="A174" s="19"/>
      <c r="B174" s="19">
        <v>9</v>
      </c>
      <c r="C174" s="20" t="s">
        <v>190</v>
      </c>
      <c r="D174" s="21">
        <v>90</v>
      </c>
      <c r="E174" s="15" t="s">
        <v>8</v>
      </c>
      <c r="F174" s="1" t="s">
        <v>9</v>
      </c>
    </row>
    <row r="175" s="1" customFormat="1" ht="15.75" customHeight="1" spans="1:6">
      <c r="A175" s="19"/>
      <c r="B175" s="19">
        <v>10</v>
      </c>
      <c r="C175" s="20" t="s">
        <v>191</v>
      </c>
      <c r="D175" s="21">
        <v>25</v>
      </c>
      <c r="E175" s="15"/>
      <c r="F175" s="1" t="s">
        <v>70</v>
      </c>
    </row>
    <row r="176" s="1" customFormat="1" ht="15.75" customHeight="1" spans="1:6">
      <c r="A176" s="19"/>
      <c r="B176" s="19">
        <v>11</v>
      </c>
      <c r="C176" s="20" t="s">
        <v>192</v>
      </c>
      <c r="D176" s="21">
        <v>100</v>
      </c>
      <c r="E176" s="15" t="s">
        <v>11</v>
      </c>
      <c r="F176" s="1" t="s">
        <v>20</v>
      </c>
    </row>
    <row r="177" s="1" customFormat="1" ht="15.75" customHeight="1" spans="1:6">
      <c r="A177" s="19"/>
      <c r="B177" s="19">
        <v>12</v>
      </c>
      <c r="C177" s="20" t="s">
        <v>193</v>
      </c>
      <c r="D177" s="21">
        <v>50</v>
      </c>
      <c r="E177" s="15"/>
      <c r="F177" s="1" t="s">
        <v>70</v>
      </c>
    </row>
    <row r="178" s="1" customFormat="1" ht="15.75" customHeight="1" spans="1:6">
      <c r="A178" s="19"/>
      <c r="B178" s="19">
        <v>13</v>
      </c>
      <c r="C178" s="22" t="s">
        <v>194</v>
      </c>
      <c r="D178" s="21">
        <v>100</v>
      </c>
      <c r="E178" s="13"/>
      <c r="F178" s="16" t="s">
        <v>70</v>
      </c>
    </row>
    <row r="179" s="1" customFormat="1" ht="15.75" customHeight="1" spans="1:6">
      <c r="A179" s="19"/>
      <c r="B179" s="19">
        <v>14</v>
      </c>
      <c r="C179" s="1" t="s">
        <v>195</v>
      </c>
      <c r="D179" s="21">
        <v>100</v>
      </c>
      <c r="E179" s="13" t="s">
        <v>11</v>
      </c>
      <c r="F179" s="16" t="s">
        <v>9</v>
      </c>
    </row>
    <row r="180" s="1" customFormat="1" ht="15.75" customHeight="1" spans="1:6">
      <c r="A180" s="19"/>
      <c r="B180" s="19">
        <v>15</v>
      </c>
      <c r="C180" s="22" t="s">
        <v>196</v>
      </c>
      <c r="D180" s="21">
        <v>80</v>
      </c>
      <c r="E180" s="13"/>
      <c r="F180" s="16" t="s">
        <v>70</v>
      </c>
    </row>
    <row r="181" s="1" customFormat="1" ht="15.75" customHeight="1" spans="1:6">
      <c r="A181" s="19"/>
      <c r="B181" s="19">
        <v>16</v>
      </c>
      <c r="C181" s="22" t="s">
        <v>197</v>
      </c>
      <c r="D181" s="21">
        <v>90</v>
      </c>
      <c r="E181" s="13" t="s">
        <v>8</v>
      </c>
      <c r="F181" s="16" t="s">
        <v>14</v>
      </c>
    </row>
    <row r="182" s="1" customFormat="1" ht="15.75" customHeight="1" spans="1:6">
      <c r="A182" s="19"/>
      <c r="B182" s="19">
        <v>17</v>
      </c>
      <c r="C182" s="22" t="s">
        <v>198</v>
      </c>
      <c r="D182" s="21">
        <v>50</v>
      </c>
      <c r="E182" s="13"/>
      <c r="F182" s="16" t="s">
        <v>70</v>
      </c>
    </row>
    <row r="183" s="1" customFormat="1" ht="15.75" customHeight="1" spans="1:6">
      <c r="A183" s="19"/>
      <c r="B183" s="19">
        <v>18</v>
      </c>
      <c r="C183" s="22" t="s">
        <v>199</v>
      </c>
      <c r="D183" s="21">
        <v>100</v>
      </c>
      <c r="E183" s="13" t="s">
        <v>11</v>
      </c>
      <c r="F183" s="16" t="s">
        <v>20</v>
      </c>
    </row>
    <row r="184" s="1" customFormat="1" ht="15.75" customHeight="1" spans="1:6">
      <c r="A184" s="19"/>
      <c r="B184" s="19">
        <v>19</v>
      </c>
      <c r="C184" s="22" t="s">
        <v>200</v>
      </c>
      <c r="D184" s="21">
        <v>50</v>
      </c>
      <c r="E184" s="13" t="s">
        <v>11</v>
      </c>
      <c r="F184" s="16" t="s">
        <v>14</v>
      </c>
    </row>
    <row r="185" s="1" customFormat="1" ht="15.75" customHeight="1" spans="1:6">
      <c r="A185" s="19"/>
      <c r="B185" s="19">
        <v>20</v>
      </c>
      <c r="C185" s="22" t="s">
        <v>201</v>
      </c>
      <c r="D185" s="21">
        <v>80</v>
      </c>
      <c r="E185" s="13" t="s">
        <v>8</v>
      </c>
      <c r="F185" s="16" t="s">
        <v>20</v>
      </c>
    </row>
    <row r="186" s="1" customFormat="1" ht="15.75" customHeight="1" spans="1:6">
      <c r="A186" s="19"/>
      <c r="B186" s="19">
        <v>21</v>
      </c>
      <c r="C186" s="25" t="s">
        <v>202</v>
      </c>
      <c r="D186" s="21">
        <v>80</v>
      </c>
      <c r="E186" s="13" t="s">
        <v>8</v>
      </c>
      <c r="F186" s="16" t="s">
        <v>14</v>
      </c>
    </row>
    <row r="187" s="1" customFormat="1" ht="15.75" customHeight="1" spans="1:6">
      <c r="A187" s="19"/>
      <c r="B187" s="19">
        <v>22</v>
      </c>
      <c r="C187" s="25" t="s">
        <v>203</v>
      </c>
      <c r="D187" s="21">
        <v>40</v>
      </c>
      <c r="E187" s="13"/>
      <c r="F187" s="16" t="s">
        <v>70</v>
      </c>
    </row>
    <row r="188" s="1" customFormat="1" ht="15.75" customHeight="1" spans="1:6">
      <c r="A188" s="19"/>
      <c r="B188" s="19">
        <v>23</v>
      </c>
      <c r="C188" s="25" t="s">
        <v>204</v>
      </c>
      <c r="D188" s="21">
        <v>30</v>
      </c>
      <c r="E188" s="13"/>
      <c r="F188" s="16" t="s">
        <v>70</v>
      </c>
    </row>
    <row r="189" s="1" customFormat="1" ht="15.75" customHeight="1" spans="1:6">
      <c r="A189" s="19"/>
      <c r="B189" s="19">
        <v>24</v>
      </c>
      <c r="C189" s="25" t="s">
        <v>205</v>
      </c>
      <c r="D189" s="21">
        <v>60</v>
      </c>
      <c r="E189" s="13"/>
      <c r="F189" s="16" t="s">
        <v>70</v>
      </c>
    </row>
    <row r="190" s="1" customFormat="1" ht="15.75" customHeight="1" spans="1:6">
      <c r="A190" s="19"/>
      <c r="B190" s="19">
        <v>25</v>
      </c>
      <c r="C190" s="25" t="s">
        <v>206</v>
      </c>
      <c r="D190" s="21">
        <v>60</v>
      </c>
      <c r="E190" s="13"/>
      <c r="F190" s="16" t="s">
        <v>70</v>
      </c>
    </row>
    <row r="191" s="1" customFormat="1" ht="15.75" customHeight="1" spans="1:6">
      <c r="A191" s="19"/>
      <c r="B191" s="19">
        <v>26</v>
      </c>
      <c r="C191" s="25" t="s">
        <v>207</v>
      </c>
      <c r="D191" s="21">
        <v>60</v>
      </c>
      <c r="E191" s="13" t="s">
        <v>11</v>
      </c>
      <c r="F191" s="16" t="s">
        <v>14</v>
      </c>
    </row>
    <row r="192" s="1" customFormat="1" ht="15.75" customHeight="1" spans="1:6">
      <c r="A192" s="19"/>
      <c r="B192" s="19">
        <v>25</v>
      </c>
      <c r="C192" s="25" t="s">
        <v>208</v>
      </c>
      <c r="D192" s="21">
        <v>50</v>
      </c>
      <c r="E192" s="13"/>
      <c r="F192" s="16" t="s">
        <v>70</v>
      </c>
    </row>
    <row r="193" s="1" customFormat="1" ht="15.75" customHeight="1" spans="1:6">
      <c r="A193" s="19" t="s">
        <v>209</v>
      </c>
      <c r="B193" s="19">
        <v>1</v>
      </c>
      <c r="C193" s="20" t="s">
        <v>210</v>
      </c>
      <c r="D193" s="21">
        <v>70</v>
      </c>
      <c r="E193" s="15" t="s">
        <v>11</v>
      </c>
      <c r="F193" s="1" t="s">
        <v>9</v>
      </c>
    </row>
    <row r="194" s="1" customFormat="1" ht="15.75" customHeight="1" spans="1:6">
      <c r="A194" s="19"/>
      <c r="B194" s="19">
        <v>2</v>
      </c>
      <c r="C194" s="20" t="s">
        <v>211</v>
      </c>
      <c r="D194" s="21">
        <v>100</v>
      </c>
      <c r="E194" s="15" t="s">
        <v>8</v>
      </c>
      <c r="F194" s="1" t="s">
        <v>9</v>
      </c>
    </row>
    <row r="195" s="1" customFormat="1" ht="15.75" customHeight="1" spans="1:6">
      <c r="A195" s="19"/>
      <c r="B195" s="19">
        <v>3</v>
      </c>
      <c r="C195" s="20" t="s">
        <v>212</v>
      </c>
      <c r="D195" s="21">
        <v>80</v>
      </c>
      <c r="E195" s="15" t="s">
        <v>11</v>
      </c>
      <c r="F195" s="1" t="s">
        <v>9</v>
      </c>
    </row>
    <row r="196" s="1" customFormat="1" ht="15.75" customHeight="1" spans="1:6">
      <c r="A196" s="19"/>
      <c r="B196" s="19">
        <v>4</v>
      </c>
      <c r="C196" s="20" t="s">
        <v>213</v>
      </c>
      <c r="D196" s="21">
        <v>100</v>
      </c>
      <c r="E196" s="15" t="s">
        <v>8</v>
      </c>
      <c r="F196" s="1" t="s">
        <v>14</v>
      </c>
    </row>
    <row r="197" s="1" customFormat="1" ht="15.75" customHeight="1" spans="1:6">
      <c r="A197" s="19"/>
      <c r="B197" s="19">
        <v>5</v>
      </c>
      <c r="C197" s="20" t="s">
        <v>214</v>
      </c>
      <c r="D197" s="21">
        <v>100</v>
      </c>
      <c r="E197" s="15" t="s">
        <v>11</v>
      </c>
      <c r="F197" s="1" t="s">
        <v>14</v>
      </c>
    </row>
    <row r="198" s="1" customFormat="1" ht="15.75" customHeight="1" spans="1:6">
      <c r="A198" s="19"/>
      <c r="B198" s="19">
        <v>6</v>
      </c>
      <c r="C198" s="20" t="s">
        <v>215</v>
      </c>
      <c r="D198" s="21">
        <v>90</v>
      </c>
      <c r="E198" s="15" t="s">
        <v>11</v>
      </c>
      <c r="F198" s="1" t="s">
        <v>14</v>
      </c>
    </row>
    <row r="199" s="1" customFormat="1" ht="15.75" customHeight="1" spans="1:6">
      <c r="A199" s="19"/>
      <c r="B199" s="19">
        <v>7</v>
      </c>
      <c r="C199" s="20" t="s">
        <v>216</v>
      </c>
      <c r="D199" s="21">
        <v>100</v>
      </c>
      <c r="E199" s="15" t="s">
        <v>8</v>
      </c>
      <c r="F199" s="1" t="s">
        <v>20</v>
      </c>
    </row>
    <row r="200" s="1" customFormat="1" ht="15.75" customHeight="1" spans="1:6">
      <c r="A200" s="19"/>
      <c r="B200" s="19">
        <v>8</v>
      </c>
      <c r="C200" s="20" t="s">
        <v>217</v>
      </c>
      <c r="D200" s="21">
        <v>100</v>
      </c>
      <c r="E200" s="15" t="s">
        <v>11</v>
      </c>
      <c r="F200" s="1" t="s">
        <v>20</v>
      </c>
    </row>
    <row r="201" s="1" customFormat="1" ht="15.75" customHeight="1" spans="1:6">
      <c r="A201" s="19"/>
      <c r="B201" s="19">
        <v>9</v>
      </c>
      <c r="C201" s="20" t="s">
        <v>218</v>
      </c>
      <c r="D201" s="21">
        <v>80</v>
      </c>
      <c r="E201" s="15" t="s">
        <v>11</v>
      </c>
      <c r="F201" s="1" t="s">
        <v>20</v>
      </c>
    </row>
    <row r="202" s="1" customFormat="1" ht="15.75" customHeight="1" spans="1:6">
      <c r="A202" s="26" t="s">
        <v>219</v>
      </c>
      <c r="B202" s="19">
        <v>1</v>
      </c>
      <c r="C202" s="20" t="s">
        <v>220</v>
      </c>
      <c r="D202" s="21">
        <v>75</v>
      </c>
      <c r="E202" s="15" t="s">
        <v>8</v>
      </c>
      <c r="F202" s="1" t="s">
        <v>9</v>
      </c>
    </row>
    <row r="203" s="1" customFormat="1" ht="15.75" customHeight="1" spans="1:6">
      <c r="A203" s="26"/>
      <c r="B203" s="19">
        <v>2</v>
      </c>
      <c r="C203" s="20" t="s">
        <v>221</v>
      </c>
      <c r="D203" s="21">
        <v>75</v>
      </c>
      <c r="E203" s="15" t="s">
        <v>8</v>
      </c>
      <c r="F203" s="1" t="s">
        <v>9</v>
      </c>
    </row>
    <row r="204" s="1" customFormat="1" ht="15.75" customHeight="1" spans="1:6">
      <c r="A204" s="26"/>
      <c r="B204" s="19">
        <v>3</v>
      </c>
      <c r="C204" s="20" t="s">
        <v>222</v>
      </c>
      <c r="D204" s="21">
        <v>0</v>
      </c>
      <c r="E204" s="15" t="s">
        <v>11</v>
      </c>
      <c r="F204" s="1" t="s">
        <v>9</v>
      </c>
    </row>
    <row r="205" s="1" customFormat="1" ht="15.75" customHeight="1" spans="1:8">
      <c r="A205" s="26"/>
      <c r="B205" s="19">
        <v>4</v>
      </c>
      <c r="C205" s="20" t="s">
        <v>223</v>
      </c>
      <c r="D205" s="21">
        <v>0</v>
      </c>
      <c r="E205" s="15" t="s">
        <v>8</v>
      </c>
      <c r="F205" s="1" t="s">
        <v>14</v>
      </c>
      <c r="G205" s="1" t="s">
        <v>224</v>
      </c>
      <c r="H205" s="1" t="s">
        <v>225</v>
      </c>
    </row>
    <row r="206" s="1" customFormat="1" ht="15.75" customHeight="1" spans="1:6">
      <c r="A206" s="26"/>
      <c r="B206" s="19">
        <v>5</v>
      </c>
      <c r="C206" s="20" t="s">
        <v>226</v>
      </c>
      <c r="D206" s="21">
        <v>0</v>
      </c>
      <c r="E206" s="15" t="s">
        <v>11</v>
      </c>
      <c r="F206" s="1" t="s">
        <v>14</v>
      </c>
    </row>
    <row r="207" s="1" customFormat="1" ht="15.75" customHeight="1" spans="1:8">
      <c r="A207" s="26"/>
      <c r="B207" s="19">
        <v>6</v>
      </c>
      <c r="C207" s="20" t="s">
        <v>223</v>
      </c>
      <c r="D207" s="21">
        <v>0</v>
      </c>
      <c r="E207" s="15" t="s">
        <v>8</v>
      </c>
      <c r="F207" s="1" t="s">
        <v>20</v>
      </c>
      <c r="G207" s="1" t="s">
        <v>224</v>
      </c>
      <c r="H207" s="1" t="s">
        <v>225</v>
      </c>
    </row>
    <row r="208" s="1" customFormat="1" ht="15.75" customHeight="1" spans="1:6">
      <c r="A208" s="26"/>
      <c r="B208" s="19">
        <v>7</v>
      </c>
      <c r="C208" s="20" t="s">
        <v>227</v>
      </c>
      <c r="D208" s="21">
        <v>0</v>
      </c>
      <c r="E208" s="15" t="s">
        <v>11</v>
      </c>
      <c r="F208" s="1" t="s">
        <v>20</v>
      </c>
    </row>
    <row r="209" s="1" customFormat="1" ht="15.75" customHeight="1" spans="1:6">
      <c r="A209" s="26" t="s">
        <v>228</v>
      </c>
      <c r="B209" s="19">
        <v>1</v>
      </c>
      <c r="C209" s="25" t="s">
        <v>229</v>
      </c>
      <c r="D209" s="21">
        <v>100</v>
      </c>
      <c r="E209" s="13" t="s">
        <v>8</v>
      </c>
      <c r="F209" s="16" t="s">
        <v>9</v>
      </c>
    </row>
    <row r="210" s="1" customFormat="1" ht="15.75" customHeight="1" spans="1:6">
      <c r="A210" s="26"/>
      <c r="B210" s="19">
        <v>2</v>
      </c>
      <c r="C210" s="25" t="s">
        <v>91</v>
      </c>
      <c r="D210" s="21">
        <v>50</v>
      </c>
      <c r="E210" s="13" t="s">
        <v>11</v>
      </c>
      <c r="F210" s="16" t="s">
        <v>9</v>
      </c>
    </row>
    <row r="211" s="1" customFormat="1" ht="15.75" customHeight="1" spans="1:6">
      <c r="A211" s="26"/>
      <c r="B211" s="19">
        <v>3</v>
      </c>
      <c r="C211" s="25" t="s">
        <v>229</v>
      </c>
      <c r="D211" s="21">
        <v>100</v>
      </c>
      <c r="E211" s="13" t="s">
        <v>8</v>
      </c>
      <c r="F211" s="16" t="s">
        <v>14</v>
      </c>
    </row>
    <row r="212" s="1" customFormat="1" ht="15.75" customHeight="1" spans="1:6">
      <c r="A212" s="26"/>
      <c r="B212" s="19">
        <v>4</v>
      </c>
      <c r="C212" s="25" t="s">
        <v>91</v>
      </c>
      <c r="D212" s="21">
        <v>50</v>
      </c>
      <c r="E212" s="13" t="s">
        <v>11</v>
      </c>
      <c r="F212" s="16" t="s">
        <v>14</v>
      </c>
    </row>
    <row r="213" s="1" customFormat="1" ht="15.75" customHeight="1" spans="1:6">
      <c r="A213" s="26"/>
      <c r="B213" s="19">
        <v>5</v>
      </c>
      <c r="C213" s="25" t="s">
        <v>229</v>
      </c>
      <c r="D213" s="21">
        <v>100</v>
      </c>
      <c r="E213" s="13" t="s">
        <v>8</v>
      </c>
      <c r="F213" s="16" t="s">
        <v>20</v>
      </c>
    </row>
    <row r="214" s="1" customFormat="1" ht="15.75" customHeight="1" spans="1:6">
      <c r="A214" s="26"/>
      <c r="B214" s="19">
        <v>6</v>
      </c>
      <c r="C214" s="25" t="s">
        <v>91</v>
      </c>
      <c r="D214" s="21">
        <v>50</v>
      </c>
      <c r="E214" s="13" t="s">
        <v>11</v>
      </c>
      <c r="F214" s="16" t="s">
        <v>20</v>
      </c>
    </row>
    <row r="215" s="1" customFormat="1" ht="15.75" customHeight="1" spans="1:6">
      <c r="A215" s="26" t="s">
        <v>230</v>
      </c>
      <c r="B215" s="19">
        <v>1</v>
      </c>
      <c r="C215" s="25" t="s">
        <v>222</v>
      </c>
      <c r="D215" s="21">
        <v>100</v>
      </c>
      <c r="E215" s="13" t="s">
        <v>8</v>
      </c>
      <c r="F215" s="16" t="s">
        <v>14</v>
      </c>
    </row>
    <row r="216" s="1" customFormat="1" ht="15.75" customHeight="1" spans="1:6">
      <c r="A216" s="26"/>
      <c r="B216" s="19">
        <v>2</v>
      </c>
      <c r="C216" s="25" t="s">
        <v>222</v>
      </c>
      <c r="D216" s="21">
        <v>100</v>
      </c>
      <c r="E216" s="13" t="s">
        <v>11</v>
      </c>
      <c r="F216" s="16" t="s">
        <v>14</v>
      </c>
    </row>
    <row r="217" s="1" customFormat="1" ht="15.75" customHeight="1" spans="1:6">
      <c r="A217" s="26"/>
      <c r="B217" s="19">
        <v>3</v>
      </c>
      <c r="C217" s="25" t="s">
        <v>222</v>
      </c>
      <c r="D217" s="21">
        <v>100</v>
      </c>
      <c r="E217" s="13" t="s">
        <v>8</v>
      </c>
      <c r="F217" s="16" t="s">
        <v>9</v>
      </c>
    </row>
    <row r="218" s="1" customFormat="1" ht="15.75" customHeight="1" spans="1:6">
      <c r="A218" s="26"/>
      <c r="B218" s="19">
        <v>4</v>
      </c>
      <c r="C218" s="25" t="s">
        <v>222</v>
      </c>
      <c r="D218" s="21">
        <v>100</v>
      </c>
      <c r="E218" s="13" t="s">
        <v>11</v>
      </c>
      <c r="F218" s="16" t="s">
        <v>9</v>
      </c>
    </row>
    <row r="219" s="1" customFormat="1" ht="15.75" customHeight="1" spans="1:6">
      <c r="A219" s="26"/>
      <c r="B219" s="19">
        <v>5</v>
      </c>
      <c r="C219" s="25" t="s">
        <v>222</v>
      </c>
      <c r="D219" s="21">
        <v>100</v>
      </c>
      <c r="E219" s="13" t="s">
        <v>8</v>
      </c>
      <c r="F219" s="16" t="s">
        <v>20</v>
      </c>
    </row>
    <row r="220" s="1" customFormat="1" ht="15.75" customHeight="1" spans="1:6">
      <c r="A220" s="26"/>
      <c r="B220" s="19">
        <v>6</v>
      </c>
      <c r="C220" s="25" t="s">
        <v>222</v>
      </c>
      <c r="D220" s="21">
        <v>100</v>
      </c>
      <c r="E220" s="13" t="s">
        <v>11</v>
      </c>
      <c r="F220" s="16" t="s">
        <v>20</v>
      </c>
    </row>
    <row r="221" s="1" customFormat="1" ht="15.75" customHeight="1" spans="1:7">
      <c r="A221" s="19" t="s">
        <v>231</v>
      </c>
      <c r="B221" s="19">
        <v>1</v>
      </c>
      <c r="C221" s="25" t="s">
        <v>229</v>
      </c>
      <c r="D221" s="21">
        <v>0</v>
      </c>
      <c r="E221" s="13" t="s">
        <v>8</v>
      </c>
      <c r="F221" s="16" t="s">
        <v>9</v>
      </c>
      <c r="G221" s="14" t="s">
        <v>232</v>
      </c>
    </row>
    <row r="222" s="1" customFormat="1" ht="15.75" customHeight="1" spans="1:7">
      <c r="A222" s="19"/>
      <c r="B222" s="19">
        <v>2</v>
      </c>
      <c r="C222" s="25" t="s">
        <v>229</v>
      </c>
      <c r="D222" s="21">
        <v>0</v>
      </c>
      <c r="E222" s="13" t="s">
        <v>8</v>
      </c>
      <c r="F222" s="16" t="s">
        <v>20</v>
      </c>
      <c r="G222" s="1" t="s">
        <v>232</v>
      </c>
    </row>
    <row r="223" s="1" customFormat="1" ht="15.75" customHeight="1" spans="1:7">
      <c r="A223" s="19"/>
      <c r="B223" s="19">
        <v>3</v>
      </c>
      <c r="C223" s="25" t="s">
        <v>229</v>
      </c>
      <c r="D223" s="21">
        <v>0</v>
      </c>
      <c r="E223" s="13" t="s">
        <v>8</v>
      </c>
      <c r="F223" s="16" t="s">
        <v>14</v>
      </c>
      <c r="G223" s="1" t="s">
        <v>232</v>
      </c>
    </row>
  </sheetData>
  <autoFilter xmlns:etc="http://www.wps.cn/officeDocument/2017/etCustomData" ref="A1:XFD1048576" etc:filterBottomFollowUsedRange="0">
    <extLst/>
  </autoFilter>
  <mergeCells count="19">
    <mergeCell ref="A2:A12"/>
    <mergeCell ref="A13:A19"/>
    <mergeCell ref="A20:A29"/>
    <mergeCell ref="A30:A39"/>
    <mergeCell ref="A40:A42"/>
    <mergeCell ref="A43:A55"/>
    <mergeCell ref="A56:A74"/>
    <mergeCell ref="A75:A81"/>
    <mergeCell ref="A82:A93"/>
    <mergeCell ref="A94:A103"/>
    <mergeCell ref="A104:A117"/>
    <mergeCell ref="A118:A141"/>
    <mergeCell ref="A142:A165"/>
    <mergeCell ref="A166:A192"/>
    <mergeCell ref="A193:A201"/>
    <mergeCell ref="A202:A208"/>
    <mergeCell ref="A209:A214"/>
    <mergeCell ref="A215:A220"/>
    <mergeCell ref="A221:A22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82"/>
  <sheetViews>
    <sheetView workbookViewId="0">
      <selection activeCell="A1" sqref="A1"/>
    </sheetView>
  </sheetViews>
  <sheetFormatPr defaultColWidth="8.83333333333333" defaultRowHeight="13.8" customHeight="1"/>
  <cols>
    <col min="1" max="1" width="16.5" style="1" customWidth="1"/>
    <col min="2" max="2" width="14.1666666666667" style="1" customWidth="1"/>
    <col min="3" max="3" width="11.5" style="1" customWidth="1"/>
    <col min="4" max="4" width="13" style="1" customWidth="1"/>
    <col min="7" max="7" width="16.5" style="1" customWidth="1"/>
    <col min="8" max="8" width="12.8333333333333" style="1" customWidth="1"/>
    <col min="12" max="12" width="16.5" style="1" customWidth="1"/>
    <col min="18" max="18" width="12.8333333333333" style="1"/>
  </cols>
  <sheetData>
    <row r="1" customHeight="1" spans="2:14">
      <c r="B1" s="1" t="s">
        <v>233</v>
      </c>
      <c r="C1" s="1" t="s">
        <v>234</v>
      </c>
      <c r="H1" s="1" t="s">
        <v>235</v>
      </c>
      <c r="I1" s="1" t="s">
        <v>234</v>
      </c>
      <c r="M1" s="1" t="s">
        <v>236</v>
      </c>
      <c r="N1" s="1" t="s">
        <v>234</v>
      </c>
    </row>
    <row r="2" customHeight="1" spans="1:15">
      <c r="A2" s="1" t="s">
        <v>237</v>
      </c>
      <c r="B2" s="1">
        <v>100</v>
      </c>
      <c r="C2" s="1">
        <v>3</v>
      </c>
      <c r="D2" s="1">
        <f t="shared" ref="D2:D20" si="0">B2*C2</f>
        <v>300</v>
      </c>
      <c r="G2" s="1" t="s">
        <v>237</v>
      </c>
      <c r="H2" s="1">
        <v>59</v>
      </c>
      <c r="I2" s="1">
        <v>8</v>
      </c>
      <c r="J2" s="1">
        <f t="shared" ref="J2:J19" si="1">H2*I2</f>
        <v>472</v>
      </c>
      <c r="L2" s="1" t="s">
        <v>237</v>
      </c>
      <c r="N2" s="1">
        <v>0</v>
      </c>
      <c r="O2" s="1">
        <f>M2*N2</f>
        <v>0</v>
      </c>
    </row>
    <row r="3" customHeight="1" spans="1:20">
      <c r="A3" s="1" t="s">
        <v>23</v>
      </c>
      <c r="B3" s="1">
        <v>97</v>
      </c>
      <c r="C3" s="1">
        <v>3</v>
      </c>
      <c r="D3" s="1">
        <f t="shared" si="0"/>
        <v>291</v>
      </c>
      <c r="G3" s="1" t="s">
        <v>23</v>
      </c>
      <c r="H3" s="1">
        <v>73</v>
      </c>
      <c r="I3" s="1">
        <v>4</v>
      </c>
      <c r="J3" s="1">
        <f t="shared" si="1"/>
        <v>292</v>
      </c>
      <c r="L3" s="1" t="s">
        <v>23</v>
      </c>
      <c r="N3" s="1">
        <v>0</v>
      </c>
      <c r="O3" s="1">
        <f>M3*N3</f>
        <v>0</v>
      </c>
      <c r="R3" s="6" t="s">
        <v>238</v>
      </c>
      <c r="S3" s="7" t="s">
        <v>234</v>
      </c>
      <c r="T3" s="8"/>
    </row>
    <row r="4" customHeight="1" spans="1:20">
      <c r="A4" s="1" t="s">
        <v>30</v>
      </c>
      <c r="B4" s="1">
        <v>100</v>
      </c>
      <c r="C4" s="1">
        <v>3</v>
      </c>
      <c r="D4" s="1">
        <f t="shared" si="0"/>
        <v>300</v>
      </c>
      <c r="G4" s="1" t="s">
        <v>30</v>
      </c>
      <c r="H4" s="1">
        <v>76</v>
      </c>
      <c r="I4" s="1">
        <v>8</v>
      </c>
      <c r="J4" s="1">
        <f t="shared" si="1"/>
        <v>608</v>
      </c>
      <c r="L4" s="1" t="s">
        <v>30</v>
      </c>
      <c r="M4" s="5">
        <v>50</v>
      </c>
      <c r="N4" s="1">
        <v>1</v>
      </c>
      <c r="O4" s="1">
        <f>M4*N4</f>
        <v>50</v>
      </c>
      <c r="Q4" s="3" t="s">
        <v>237</v>
      </c>
      <c r="R4" s="5">
        <v>0</v>
      </c>
      <c r="S4" s="9">
        <v>0</v>
      </c>
      <c r="T4" s="10">
        <f>R4*S4</f>
        <v>0</v>
      </c>
    </row>
    <row r="5" customHeight="1" spans="1:20">
      <c r="A5" s="1" t="s">
        <v>41</v>
      </c>
      <c r="B5" s="1">
        <v>100</v>
      </c>
      <c r="C5" s="1">
        <v>5</v>
      </c>
      <c r="D5" s="1">
        <f t="shared" si="0"/>
        <v>500</v>
      </c>
      <c r="G5" s="1" t="s">
        <v>41</v>
      </c>
      <c r="H5" s="1">
        <v>67</v>
      </c>
      <c r="I5" s="1">
        <v>5</v>
      </c>
      <c r="J5" s="1">
        <f t="shared" si="1"/>
        <v>335</v>
      </c>
      <c r="L5" s="1" t="s">
        <v>41</v>
      </c>
      <c r="M5" s="1">
        <v>25</v>
      </c>
      <c r="N5" s="1">
        <v>1</v>
      </c>
      <c r="O5" s="1">
        <v>25</v>
      </c>
      <c r="Q5" s="3" t="s">
        <v>239</v>
      </c>
      <c r="R5" s="5">
        <v>0</v>
      </c>
      <c r="S5" s="9">
        <v>0</v>
      </c>
      <c r="T5" s="10">
        <f>R5*S5</f>
        <v>0</v>
      </c>
    </row>
    <row r="6" customHeight="1" spans="1:20">
      <c r="A6" s="1" t="s">
        <v>52</v>
      </c>
      <c r="B6" s="1">
        <v>80</v>
      </c>
      <c r="C6" s="1">
        <v>3</v>
      </c>
      <c r="D6" s="1">
        <f t="shared" si="0"/>
        <v>240</v>
      </c>
      <c r="G6" s="1" t="s">
        <v>52</v>
      </c>
      <c r="I6" s="1">
        <v>0</v>
      </c>
      <c r="J6" s="1">
        <f t="shared" si="1"/>
        <v>0</v>
      </c>
      <c r="L6" s="1" t="s">
        <v>52</v>
      </c>
      <c r="N6" s="1">
        <v>0</v>
      </c>
      <c r="O6" s="1">
        <f>M6*N6</f>
        <v>0</v>
      </c>
      <c r="Q6" s="3" t="s">
        <v>240</v>
      </c>
      <c r="R6" s="5">
        <v>50</v>
      </c>
      <c r="S6" s="9">
        <v>1</v>
      </c>
      <c r="T6" s="10">
        <f>R6*S6</f>
        <v>50</v>
      </c>
    </row>
    <row r="7" customHeight="1" spans="1:20">
      <c r="A7" s="1" t="s">
        <v>56</v>
      </c>
      <c r="B7" s="1">
        <v>100</v>
      </c>
      <c r="C7" s="1">
        <v>3</v>
      </c>
      <c r="D7" s="1">
        <f t="shared" si="0"/>
        <v>300</v>
      </c>
      <c r="G7" s="1" t="s">
        <v>56</v>
      </c>
      <c r="H7" s="1">
        <v>84</v>
      </c>
      <c r="I7" s="1">
        <v>8</v>
      </c>
      <c r="J7" s="1">
        <f t="shared" si="1"/>
        <v>672</v>
      </c>
      <c r="L7" s="1" t="s">
        <v>56</v>
      </c>
      <c r="M7" s="1">
        <v>69</v>
      </c>
      <c r="N7" s="1">
        <v>37</v>
      </c>
      <c r="O7" s="1">
        <f>N7*M7</f>
        <v>2553</v>
      </c>
      <c r="Q7" s="3" t="s">
        <v>241</v>
      </c>
      <c r="R7" s="5">
        <v>0</v>
      </c>
      <c r="S7" s="9">
        <v>0</v>
      </c>
      <c r="T7" s="10">
        <v>0</v>
      </c>
    </row>
    <row r="8" customHeight="1" spans="1:20">
      <c r="A8" s="1" t="s">
        <v>71</v>
      </c>
      <c r="B8" s="1">
        <v>85</v>
      </c>
      <c r="C8" s="1">
        <v>4</v>
      </c>
      <c r="D8" s="1">
        <f t="shared" si="0"/>
        <v>340</v>
      </c>
      <c r="G8" s="1" t="s">
        <v>71</v>
      </c>
      <c r="H8" s="1">
        <v>89</v>
      </c>
      <c r="I8" s="1">
        <v>12</v>
      </c>
      <c r="J8" s="1">
        <f t="shared" si="1"/>
        <v>1068</v>
      </c>
      <c r="L8" s="1" t="s">
        <v>71</v>
      </c>
      <c r="M8" s="1">
        <v>64</v>
      </c>
      <c r="N8" s="1">
        <v>38</v>
      </c>
      <c r="O8" s="1">
        <v>2375</v>
      </c>
      <c r="Q8" s="3" t="s">
        <v>52</v>
      </c>
      <c r="R8" s="5">
        <v>0</v>
      </c>
      <c r="S8" s="9">
        <v>0</v>
      </c>
      <c r="T8" s="10">
        <f t="shared" ref="T8:T22" si="2">R8*S8</f>
        <v>0</v>
      </c>
    </row>
    <row r="9" customHeight="1" spans="1:20">
      <c r="A9" s="1" t="s">
        <v>92</v>
      </c>
      <c r="B9" s="1">
        <v>100</v>
      </c>
      <c r="C9" s="1">
        <v>3</v>
      </c>
      <c r="D9" s="1">
        <f t="shared" si="0"/>
        <v>300</v>
      </c>
      <c r="G9" s="1" t="s">
        <v>92</v>
      </c>
      <c r="H9" s="1">
        <v>75</v>
      </c>
      <c r="I9" s="1">
        <v>4</v>
      </c>
      <c r="J9" s="1">
        <f t="shared" si="1"/>
        <v>300</v>
      </c>
      <c r="L9" s="1" t="s">
        <v>92</v>
      </c>
      <c r="N9" s="1">
        <v>0</v>
      </c>
      <c r="O9" s="1">
        <f t="shared" ref="O9:O19" si="3">M9*N9</f>
        <v>0</v>
      </c>
      <c r="Q9" s="3" t="s">
        <v>56</v>
      </c>
      <c r="R9" s="5">
        <v>44</v>
      </c>
      <c r="S9" s="9">
        <v>8</v>
      </c>
      <c r="T9" s="10">
        <f t="shared" si="2"/>
        <v>352</v>
      </c>
    </row>
    <row r="10" customHeight="1" spans="1:20">
      <c r="A10" s="1" t="s">
        <v>242</v>
      </c>
      <c r="B10" s="1">
        <v>100</v>
      </c>
      <c r="C10" s="1">
        <v>4</v>
      </c>
      <c r="D10" s="1">
        <f t="shared" si="0"/>
        <v>400</v>
      </c>
      <c r="G10" s="1" t="s">
        <v>242</v>
      </c>
      <c r="H10" s="1">
        <v>86</v>
      </c>
      <c r="I10" s="1">
        <v>7</v>
      </c>
      <c r="J10" s="1">
        <f t="shared" si="1"/>
        <v>602</v>
      </c>
      <c r="L10" s="1" t="s">
        <v>242</v>
      </c>
      <c r="M10" s="1">
        <v>60</v>
      </c>
      <c r="N10" s="1">
        <v>17</v>
      </c>
      <c r="O10" s="1">
        <f t="shared" si="3"/>
        <v>1020</v>
      </c>
      <c r="Q10" s="3" t="s">
        <v>71</v>
      </c>
      <c r="R10" s="5">
        <v>0</v>
      </c>
      <c r="S10" s="9">
        <v>0</v>
      </c>
      <c r="T10" s="10">
        <f t="shared" si="2"/>
        <v>0</v>
      </c>
    </row>
    <row r="11" customHeight="1" spans="1:20">
      <c r="A11" s="1" t="s">
        <v>243</v>
      </c>
      <c r="B11" s="1">
        <v>100</v>
      </c>
      <c r="C11" s="1">
        <v>3</v>
      </c>
      <c r="D11" s="1">
        <f t="shared" si="0"/>
        <v>300</v>
      </c>
      <c r="G11" s="1" t="s">
        <v>243</v>
      </c>
      <c r="H11" s="1">
        <v>99</v>
      </c>
      <c r="I11" s="1">
        <v>7</v>
      </c>
      <c r="J11" s="1">
        <f t="shared" si="1"/>
        <v>693</v>
      </c>
      <c r="L11" s="1" t="s">
        <v>243</v>
      </c>
      <c r="M11" s="1">
        <v>56</v>
      </c>
      <c r="N11" s="1">
        <v>4</v>
      </c>
      <c r="O11" s="1">
        <f t="shared" si="3"/>
        <v>224</v>
      </c>
      <c r="Q11" s="3" t="s">
        <v>244</v>
      </c>
      <c r="R11" s="5">
        <v>0</v>
      </c>
      <c r="S11" s="9">
        <v>0</v>
      </c>
      <c r="T11" s="10">
        <f t="shared" si="2"/>
        <v>0</v>
      </c>
    </row>
    <row r="12" customHeight="1" spans="1:20">
      <c r="A12" s="1" t="s">
        <v>122</v>
      </c>
      <c r="B12" s="1">
        <v>93</v>
      </c>
      <c r="C12" s="1">
        <v>3</v>
      </c>
      <c r="D12" s="1">
        <f t="shared" si="0"/>
        <v>279</v>
      </c>
      <c r="G12" s="1" t="s">
        <v>122</v>
      </c>
      <c r="H12" s="1">
        <v>78</v>
      </c>
      <c r="I12" s="1">
        <v>8</v>
      </c>
      <c r="J12" s="1">
        <f t="shared" si="1"/>
        <v>624</v>
      </c>
      <c r="L12" s="1" t="s">
        <v>122</v>
      </c>
      <c r="M12" s="1">
        <v>61</v>
      </c>
      <c r="N12" s="1">
        <v>35</v>
      </c>
      <c r="O12" s="1">
        <f t="shared" si="3"/>
        <v>2135</v>
      </c>
      <c r="Q12" s="3" t="s">
        <v>99</v>
      </c>
      <c r="R12" s="5">
        <v>0</v>
      </c>
      <c r="S12" s="9">
        <v>0</v>
      </c>
      <c r="T12" s="10">
        <f t="shared" si="2"/>
        <v>0</v>
      </c>
    </row>
    <row r="13" customHeight="1" spans="1:20">
      <c r="A13" s="1" t="s">
        <v>136</v>
      </c>
      <c r="B13" s="1">
        <v>97</v>
      </c>
      <c r="C13" s="1">
        <v>3</v>
      </c>
      <c r="D13" s="1">
        <f t="shared" si="0"/>
        <v>291</v>
      </c>
      <c r="G13" s="1" t="s">
        <v>136</v>
      </c>
      <c r="H13" s="1">
        <v>87</v>
      </c>
      <c r="I13" s="1">
        <v>6</v>
      </c>
      <c r="J13" s="1">
        <f t="shared" si="1"/>
        <v>522</v>
      </c>
      <c r="L13" s="1" t="s">
        <v>136</v>
      </c>
      <c r="M13" s="1">
        <v>40</v>
      </c>
      <c r="N13" s="1">
        <v>56</v>
      </c>
      <c r="O13" s="1">
        <f t="shared" si="3"/>
        <v>2240</v>
      </c>
      <c r="Q13" s="3" t="s">
        <v>243</v>
      </c>
      <c r="R13" s="5">
        <v>0</v>
      </c>
      <c r="S13" s="9">
        <v>0</v>
      </c>
      <c r="T13" s="10">
        <f t="shared" si="2"/>
        <v>0</v>
      </c>
    </row>
    <row r="14" customHeight="1" spans="1:20">
      <c r="A14" s="1" t="s">
        <v>158</v>
      </c>
      <c r="B14" s="1">
        <v>95</v>
      </c>
      <c r="C14" s="1">
        <v>4</v>
      </c>
      <c r="D14" s="1">
        <f t="shared" si="0"/>
        <v>380</v>
      </c>
      <c r="G14" s="1" t="s">
        <v>158</v>
      </c>
      <c r="H14" s="1">
        <v>83</v>
      </c>
      <c r="I14" s="1">
        <v>5</v>
      </c>
      <c r="J14" s="1">
        <f t="shared" si="1"/>
        <v>415</v>
      </c>
      <c r="L14" s="1" t="s">
        <v>158</v>
      </c>
      <c r="M14" s="1">
        <v>40</v>
      </c>
      <c r="N14" s="1">
        <v>61</v>
      </c>
      <c r="O14" s="1">
        <f t="shared" si="3"/>
        <v>2440</v>
      </c>
      <c r="Q14" s="3" t="s">
        <v>122</v>
      </c>
      <c r="R14" s="5">
        <v>50</v>
      </c>
      <c r="S14" s="9">
        <v>2</v>
      </c>
      <c r="T14" s="10">
        <f t="shared" si="2"/>
        <v>100</v>
      </c>
    </row>
    <row r="15" customHeight="1" spans="1:20">
      <c r="A15" s="1" t="s">
        <v>181</v>
      </c>
      <c r="B15" s="1">
        <v>85</v>
      </c>
      <c r="C15" s="1">
        <v>4</v>
      </c>
      <c r="D15" s="1">
        <f t="shared" si="0"/>
        <v>340</v>
      </c>
      <c r="G15" s="1" t="s">
        <v>181</v>
      </c>
      <c r="H15" s="1">
        <v>84</v>
      </c>
      <c r="I15" s="1">
        <v>8</v>
      </c>
      <c r="J15" s="1">
        <f t="shared" si="1"/>
        <v>672</v>
      </c>
      <c r="L15" s="1" t="s">
        <v>181</v>
      </c>
      <c r="M15" s="1">
        <v>61</v>
      </c>
      <c r="N15" s="1">
        <v>70</v>
      </c>
      <c r="O15" s="1">
        <f t="shared" si="3"/>
        <v>4270</v>
      </c>
      <c r="Q15" s="3" t="s">
        <v>245</v>
      </c>
      <c r="R15" s="5">
        <v>25</v>
      </c>
      <c r="S15" s="9">
        <v>2</v>
      </c>
      <c r="T15" s="10">
        <f t="shared" si="2"/>
        <v>50</v>
      </c>
    </row>
    <row r="16" customHeight="1" spans="1:20">
      <c r="A16" s="1" t="s">
        <v>209</v>
      </c>
      <c r="B16" s="1">
        <v>100</v>
      </c>
      <c r="C16" s="1">
        <v>3</v>
      </c>
      <c r="D16" s="1">
        <f t="shared" si="0"/>
        <v>300</v>
      </c>
      <c r="G16" s="1" t="s">
        <v>209</v>
      </c>
      <c r="H16" s="1">
        <v>87</v>
      </c>
      <c r="I16" s="1">
        <v>6</v>
      </c>
      <c r="J16" s="1">
        <f t="shared" si="1"/>
        <v>522</v>
      </c>
      <c r="L16" s="1" t="s">
        <v>209</v>
      </c>
      <c r="N16" s="1">
        <v>0</v>
      </c>
      <c r="O16" s="1">
        <f t="shared" si="3"/>
        <v>0</v>
      </c>
      <c r="Q16" s="3" t="s">
        <v>158</v>
      </c>
      <c r="R16" s="5">
        <v>12.5</v>
      </c>
      <c r="S16" s="9">
        <v>2</v>
      </c>
      <c r="T16" s="10">
        <f t="shared" si="2"/>
        <v>25</v>
      </c>
    </row>
    <row r="17" customHeight="1" spans="1:20">
      <c r="A17" s="1" t="s">
        <v>219</v>
      </c>
      <c r="B17" s="1">
        <v>37.5</v>
      </c>
      <c r="C17" s="1">
        <v>4</v>
      </c>
      <c r="D17" s="1">
        <f t="shared" si="0"/>
        <v>150</v>
      </c>
      <c r="G17" s="1" t="s">
        <v>219</v>
      </c>
      <c r="H17" s="1">
        <v>0</v>
      </c>
      <c r="I17" s="1">
        <v>3</v>
      </c>
      <c r="J17" s="1">
        <f t="shared" si="1"/>
        <v>0</v>
      </c>
      <c r="L17" s="1" t="s">
        <v>219</v>
      </c>
      <c r="M17" s="1">
        <v>0</v>
      </c>
      <c r="N17" s="1">
        <v>5</v>
      </c>
      <c r="O17" s="1">
        <f t="shared" si="3"/>
        <v>0</v>
      </c>
      <c r="Q17" s="3" t="s">
        <v>246</v>
      </c>
      <c r="R17" s="5">
        <v>50</v>
      </c>
      <c r="S17" s="9">
        <v>2</v>
      </c>
      <c r="T17" s="10">
        <f t="shared" si="2"/>
        <v>100</v>
      </c>
    </row>
    <row r="18" customHeight="1" spans="1:20">
      <c r="A18" s="1" t="s">
        <v>228</v>
      </c>
      <c r="B18" s="1">
        <v>100</v>
      </c>
      <c r="C18" s="1">
        <v>3</v>
      </c>
      <c r="D18" s="1">
        <f t="shared" si="0"/>
        <v>300</v>
      </c>
      <c r="G18" s="1" t="s">
        <v>228</v>
      </c>
      <c r="H18" s="1">
        <v>50</v>
      </c>
      <c r="I18" s="1">
        <v>3</v>
      </c>
      <c r="J18" s="1">
        <f t="shared" si="1"/>
        <v>150</v>
      </c>
      <c r="L18" s="1" t="s">
        <v>228</v>
      </c>
      <c r="N18" s="1">
        <v>0</v>
      </c>
      <c r="O18" s="1">
        <f t="shared" si="3"/>
        <v>0</v>
      </c>
      <c r="Q18" s="3" t="s">
        <v>209</v>
      </c>
      <c r="R18" s="5">
        <v>0</v>
      </c>
      <c r="S18" s="9">
        <v>0</v>
      </c>
      <c r="T18" s="10">
        <f t="shared" si="2"/>
        <v>0</v>
      </c>
    </row>
    <row r="19" customHeight="1" spans="1:20">
      <c r="A19" s="1" t="s">
        <v>230</v>
      </c>
      <c r="B19" s="1">
        <v>100</v>
      </c>
      <c r="C19" s="1">
        <v>3</v>
      </c>
      <c r="D19" s="1">
        <f t="shared" si="0"/>
        <v>300</v>
      </c>
      <c r="G19" s="1" t="s">
        <v>230</v>
      </c>
      <c r="H19" s="1">
        <v>100</v>
      </c>
      <c r="I19" s="1">
        <v>3</v>
      </c>
      <c r="J19" s="1">
        <f t="shared" si="1"/>
        <v>300</v>
      </c>
      <c r="L19" s="1" t="s">
        <v>230</v>
      </c>
      <c r="N19" s="1">
        <v>0</v>
      </c>
      <c r="O19" s="1">
        <f t="shared" si="3"/>
        <v>0</v>
      </c>
      <c r="Q19" s="3" t="s">
        <v>247</v>
      </c>
      <c r="R19" s="5">
        <v>0</v>
      </c>
      <c r="S19" s="9">
        <v>0</v>
      </c>
      <c r="T19" s="10">
        <f t="shared" si="2"/>
        <v>0</v>
      </c>
    </row>
    <row r="20" customHeight="1" spans="1:20">
      <c r="A20" s="1" t="s">
        <v>231</v>
      </c>
      <c r="B20" s="1">
        <v>0</v>
      </c>
      <c r="C20" s="1">
        <v>3</v>
      </c>
      <c r="D20" s="1">
        <f t="shared" si="0"/>
        <v>0</v>
      </c>
      <c r="G20" s="1" t="s">
        <v>231</v>
      </c>
      <c r="I20" s="1">
        <v>0</v>
      </c>
      <c r="L20" s="1" t="s">
        <v>231</v>
      </c>
      <c r="N20" s="1">
        <v>0</v>
      </c>
      <c r="O20" s="1">
        <v>0</v>
      </c>
      <c r="Q20" s="3" t="s">
        <v>248</v>
      </c>
      <c r="R20" s="5">
        <v>0</v>
      </c>
      <c r="S20" s="9">
        <v>0</v>
      </c>
      <c r="T20" s="10">
        <f t="shared" si="2"/>
        <v>0</v>
      </c>
    </row>
    <row r="21" customHeight="1" spans="1:20">
      <c r="A21" s="2" t="s">
        <v>249</v>
      </c>
      <c r="B21" s="2">
        <f>D21/C21</f>
        <v>87.671875</v>
      </c>
      <c r="C21" s="1">
        <f>SUM(C2:C20)</f>
        <v>64</v>
      </c>
      <c r="D21" s="1">
        <f>SUM(D2:D20)</f>
        <v>5611</v>
      </c>
      <c r="G21" s="2" t="s">
        <v>249</v>
      </c>
      <c r="H21" s="2">
        <f>J21/I21</f>
        <v>78.5428571428571</v>
      </c>
      <c r="I21" s="1">
        <f>SUM(I2:I19)</f>
        <v>105</v>
      </c>
      <c r="J21" s="1">
        <f>SUM(J2:J19)</f>
        <v>8247</v>
      </c>
      <c r="L21" s="2" t="s">
        <v>249</v>
      </c>
      <c r="M21" s="2">
        <f>O21/N21</f>
        <v>53.3292307692308</v>
      </c>
      <c r="N21" s="1">
        <f>SUM(N2:N19)</f>
        <v>325</v>
      </c>
      <c r="O21" s="1">
        <f>SUM(O2:O19)</f>
        <v>17332</v>
      </c>
      <c r="Q21" s="3" t="s">
        <v>250</v>
      </c>
      <c r="R21" s="5">
        <v>0</v>
      </c>
      <c r="S21" s="9">
        <v>0</v>
      </c>
      <c r="T21" s="10">
        <f t="shared" si="2"/>
        <v>0</v>
      </c>
    </row>
    <row r="22" customHeight="1" spans="17:20">
      <c r="Q22" s="3" t="s">
        <v>251</v>
      </c>
      <c r="R22" s="11">
        <v>0</v>
      </c>
      <c r="S22" s="12">
        <v>0</v>
      </c>
      <c r="T22" s="10">
        <f t="shared" si="2"/>
        <v>0</v>
      </c>
    </row>
    <row r="23" customHeight="1" spans="2:20">
      <c r="B23" s="1" t="s">
        <v>233</v>
      </c>
      <c r="H23" s="1" t="s">
        <v>235</v>
      </c>
      <c r="M23" s="1" t="s">
        <v>236</v>
      </c>
      <c r="R23" s="1">
        <f>T23/S23</f>
        <v>39.8235294117647</v>
      </c>
      <c r="S23" s="1">
        <f>SUM(S4:S22)</f>
        <v>17</v>
      </c>
      <c r="T23" s="1">
        <f>SUM(T4:T22)</f>
        <v>677</v>
      </c>
    </row>
    <row r="24" customHeight="1" spans="1:13">
      <c r="A24" s="1" t="s">
        <v>237</v>
      </c>
      <c r="B24" s="1">
        <v>100</v>
      </c>
      <c r="G24" s="1" t="s">
        <v>230</v>
      </c>
      <c r="H24" s="1">
        <v>100</v>
      </c>
      <c r="L24" s="1" t="s">
        <v>56</v>
      </c>
      <c r="M24" s="1">
        <v>69</v>
      </c>
    </row>
    <row r="25" customHeight="1" spans="1:13">
      <c r="A25" s="1" t="s">
        <v>30</v>
      </c>
      <c r="B25" s="1">
        <v>100</v>
      </c>
      <c r="G25" s="1" t="s">
        <v>243</v>
      </c>
      <c r="H25" s="1">
        <v>99</v>
      </c>
      <c r="L25" s="1" t="s">
        <v>71</v>
      </c>
      <c r="M25" s="1">
        <v>64</v>
      </c>
    </row>
    <row r="26" customHeight="1" spans="1:13">
      <c r="A26" s="1" t="s">
        <v>41</v>
      </c>
      <c r="B26" s="1">
        <v>100</v>
      </c>
      <c r="G26" s="1" t="s">
        <v>71</v>
      </c>
      <c r="H26" s="1">
        <v>89</v>
      </c>
      <c r="L26" s="1" t="s">
        <v>122</v>
      </c>
      <c r="M26" s="4">
        <v>61</v>
      </c>
    </row>
    <row r="27" customHeight="1" spans="1:13">
      <c r="A27" s="1" t="s">
        <v>56</v>
      </c>
      <c r="B27" s="1">
        <v>100</v>
      </c>
      <c r="G27" s="1" t="s">
        <v>136</v>
      </c>
      <c r="H27" s="1">
        <v>87</v>
      </c>
      <c r="L27" s="1" t="s">
        <v>181</v>
      </c>
      <c r="M27" s="1">
        <v>61</v>
      </c>
    </row>
    <row r="28" customHeight="1" spans="1:13">
      <c r="A28" s="1" t="s">
        <v>92</v>
      </c>
      <c r="B28" s="1">
        <v>100</v>
      </c>
      <c r="G28" s="1" t="s">
        <v>209</v>
      </c>
      <c r="H28" s="1">
        <v>87</v>
      </c>
      <c r="L28" s="1" t="s">
        <v>242</v>
      </c>
      <c r="M28" s="1">
        <v>60</v>
      </c>
    </row>
    <row r="29" customHeight="1" spans="1:13">
      <c r="A29" s="1" t="s">
        <v>242</v>
      </c>
      <c r="B29" s="1">
        <v>100</v>
      </c>
      <c r="G29" s="1" t="s">
        <v>242</v>
      </c>
      <c r="H29" s="1">
        <v>86</v>
      </c>
      <c r="L29" s="1" t="s">
        <v>243</v>
      </c>
      <c r="M29" s="1">
        <v>56</v>
      </c>
    </row>
    <row r="30" customHeight="1" spans="1:13">
      <c r="A30" s="1" t="s">
        <v>243</v>
      </c>
      <c r="B30" s="1">
        <v>100</v>
      </c>
      <c r="G30" s="1" t="s">
        <v>56</v>
      </c>
      <c r="H30" s="1">
        <v>84</v>
      </c>
      <c r="L30" s="1" t="s">
        <v>30</v>
      </c>
      <c r="M30" s="3">
        <v>50</v>
      </c>
    </row>
    <row r="31" customHeight="1" spans="1:13">
      <c r="A31" s="1" t="s">
        <v>209</v>
      </c>
      <c r="B31" s="1">
        <v>100</v>
      </c>
      <c r="G31" s="1" t="s">
        <v>181</v>
      </c>
      <c r="H31" s="1">
        <v>84</v>
      </c>
      <c r="L31" s="1" t="s">
        <v>136</v>
      </c>
      <c r="M31" s="1">
        <v>40</v>
      </c>
    </row>
    <row r="32" customHeight="1" spans="1:13">
      <c r="A32" s="1" t="s">
        <v>228</v>
      </c>
      <c r="B32" s="1">
        <v>100</v>
      </c>
      <c r="G32" s="1" t="s">
        <v>158</v>
      </c>
      <c r="H32" s="1">
        <v>83</v>
      </c>
      <c r="L32" s="1" t="s">
        <v>158</v>
      </c>
      <c r="M32" s="1">
        <v>40</v>
      </c>
    </row>
    <row r="33" customHeight="1" spans="1:13">
      <c r="A33" s="1" t="s">
        <v>230</v>
      </c>
      <c r="B33" s="1">
        <v>100</v>
      </c>
      <c r="G33" s="1" t="s">
        <v>122</v>
      </c>
      <c r="H33" s="1">
        <v>78</v>
      </c>
      <c r="L33" s="1" t="s">
        <v>41</v>
      </c>
      <c r="M33" s="1">
        <v>25</v>
      </c>
    </row>
    <row r="34" customHeight="1" spans="1:13">
      <c r="A34" s="1" t="s">
        <v>23</v>
      </c>
      <c r="B34" s="1">
        <v>97</v>
      </c>
      <c r="G34" s="1" t="s">
        <v>30</v>
      </c>
      <c r="H34" s="1">
        <v>76</v>
      </c>
      <c r="L34" s="1" t="s">
        <v>219</v>
      </c>
      <c r="M34" s="1">
        <v>0</v>
      </c>
    </row>
    <row r="35" customHeight="1" spans="1:12">
      <c r="A35" s="1" t="s">
        <v>136</v>
      </c>
      <c r="B35" s="1">
        <v>97</v>
      </c>
      <c r="G35" s="1" t="s">
        <v>92</v>
      </c>
      <c r="H35" s="1">
        <v>75</v>
      </c>
      <c r="L35" s="1" t="s">
        <v>237</v>
      </c>
    </row>
    <row r="36" customHeight="1" spans="1:12">
      <c r="A36" s="1" t="s">
        <v>158</v>
      </c>
      <c r="B36" s="1">
        <v>95</v>
      </c>
      <c r="G36" s="1" t="s">
        <v>23</v>
      </c>
      <c r="H36" s="1">
        <v>73</v>
      </c>
      <c r="L36" s="1" t="s">
        <v>23</v>
      </c>
    </row>
    <row r="37" customHeight="1" spans="1:12">
      <c r="A37" s="1" t="s">
        <v>122</v>
      </c>
      <c r="B37" s="1">
        <v>93</v>
      </c>
      <c r="G37" s="1" t="s">
        <v>41</v>
      </c>
      <c r="H37" s="1">
        <v>67</v>
      </c>
      <c r="L37" s="1" t="s">
        <v>52</v>
      </c>
    </row>
    <row r="38" customHeight="1" spans="1:12">
      <c r="A38" s="1" t="s">
        <v>71</v>
      </c>
      <c r="B38" s="1">
        <v>85</v>
      </c>
      <c r="G38" s="1" t="s">
        <v>237</v>
      </c>
      <c r="H38" s="1">
        <v>59</v>
      </c>
      <c r="L38" s="1" t="s">
        <v>92</v>
      </c>
    </row>
    <row r="39" customHeight="1" spans="1:12">
      <c r="A39" s="1" t="s">
        <v>181</v>
      </c>
      <c r="B39" s="1">
        <v>85</v>
      </c>
      <c r="G39" s="1" t="s">
        <v>228</v>
      </c>
      <c r="H39" s="1">
        <v>50</v>
      </c>
      <c r="L39" s="1" t="s">
        <v>209</v>
      </c>
    </row>
    <row r="40" customHeight="1" spans="1:12">
      <c r="A40" s="1" t="s">
        <v>52</v>
      </c>
      <c r="B40" s="1">
        <v>80</v>
      </c>
      <c r="G40" s="1" t="s">
        <v>219</v>
      </c>
      <c r="H40" s="1">
        <v>0</v>
      </c>
      <c r="L40" s="1" t="s">
        <v>228</v>
      </c>
    </row>
    <row r="41" customHeight="1" spans="1:12">
      <c r="A41" s="1" t="s">
        <v>219</v>
      </c>
      <c r="B41" s="1">
        <v>37.5</v>
      </c>
      <c r="G41" s="1" t="s">
        <v>52</v>
      </c>
      <c r="H41" s="1" t="s">
        <v>252</v>
      </c>
      <c r="L41" s="1" t="s">
        <v>230</v>
      </c>
    </row>
    <row r="42" customHeight="1" spans="1:12">
      <c r="A42" s="1" t="s">
        <v>231</v>
      </c>
      <c r="B42" s="1">
        <v>0</v>
      </c>
      <c r="G42" s="1" t="s">
        <v>231</v>
      </c>
      <c r="H42" s="1" t="s">
        <v>252</v>
      </c>
      <c r="L42" s="1" t="s">
        <v>231</v>
      </c>
    </row>
    <row r="59" customHeight="1" spans="2:5">
      <c r="B59" s="1" t="s">
        <v>233</v>
      </c>
      <c r="C59" s="1" t="s">
        <v>235</v>
      </c>
      <c r="D59" s="1" t="s">
        <v>236</v>
      </c>
      <c r="E59" s="1" t="s">
        <v>253</v>
      </c>
    </row>
    <row r="60" customHeight="1" spans="1:4">
      <c r="A60" s="1" t="s">
        <v>237</v>
      </c>
      <c r="B60" s="1">
        <v>100</v>
      </c>
      <c r="C60" s="1">
        <v>59</v>
      </c>
      <c r="D60" s="1" t="s">
        <v>254</v>
      </c>
    </row>
    <row r="61" customHeight="1" spans="1:5">
      <c r="A61" s="1" t="s">
        <v>30</v>
      </c>
      <c r="B61" s="1">
        <v>100</v>
      </c>
      <c r="C61" s="1">
        <v>76</v>
      </c>
      <c r="D61" s="3">
        <v>50</v>
      </c>
      <c r="E61" s="5">
        <v>50</v>
      </c>
    </row>
    <row r="62" customHeight="1" spans="1:4">
      <c r="A62" s="1" t="s">
        <v>41</v>
      </c>
      <c r="B62" s="1">
        <v>100</v>
      </c>
      <c r="C62" s="1">
        <v>67</v>
      </c>
      <c r="D62" s="4">
        <v>25</v>
      </c>
    </row>
    <row r="63" customHeight="1" spans="1:5">
      <c r="A63" s="1" t="s">
        <v>56</v>
      </c>
      <c r="B63" s="1">
        <v>100</v>
      </c>
      <c r="C63" s="1">
        <v>84</v>
      </c>
      <c r="D63" s="1">
        <v>69</v>
      </c>
      <c r="E63" s="5">
        <v>44</v>
      </c>
    </row>
    <row r="64" customHeight="1" spans="1:4">
      <c r="A64" s="1" t="s">
        <v>92</v>
      </c>
      <c r="B64" s="1">
        <v>100</v>
      </c>
      <c r="C64" s="1">
        <v>75</v>
      </c>
      <c r="D64" s="1" t="s">
        <v>254</v>
      </c>
    </row>
    <row r="65" customHeight="1" spans="1:4">
      <c r="A65" s="1" t="s">
        <v>242</v>
      </c>
      <c r="B65" s="1">
        <v>100</v>
      </c>
      <c r="C65" s="1">
        <v>86</v>
      </c>
      <c r="D65" s="1">
        <v>60</v>
      </c>
    </row>
    <row r="66" customHeight="1" spans="1:4">
      <c r="A66" s="1" t="s">
        <v>243</v>
      </c>
      <c r="B66" s="1">
        <v>100</v>
      </c>
      <c r="C66" s="1">
        <v>99</v>
      </c>
      <c r="D66" s="1">
        <v>56</v>
      </c>
    </row>
    <row r="67" customHeight="1" spans="1:4">
      <c r="A67" s="1" t="s">
        <v>209</v>
      </c>
      <c r="B67" s="1">
        <v>100</v>
      </c>
      <c r="C67" s="1">
        <v>87</v>
      </c>
      <c r="D67" s="1" t="s">
        <v>254</v>
      </c>
    </row>
    <row r="68" customHeight="1" spans="1:4">
      <c r="A68" s="1" t="s">
        <v>228</v>
      </c>
      <c r="B68" s="1">
        <v>100</v>
      </c>
      <c r="C68" s="1">
        <v>50</v>
      </c>
      <c r="D68" s="1" t="s">
        <v>254</v>
      </c>
    </row>
    <row r="69" customHeight="1" spans="1:4">
      <c r="A69" s="1" t="s">
        <v>230</v>
      </c>
      <c r="B69" s="1">
        <v>100</v>
      </c>
      <c r="C69" s="1">
        <v>100</v>
      </c>
      <c r="D69" s="1" t="s">
        <v>254</v>
      </c>
    </row>
    <row r="70" customHeight="1" spans="1:4">
      <c r="A70" s="1" t="s">
        <v>23</v>
      </c>
      <c r="B70" s="1">
        <v>97</v>
      </c>
      <c r="C70" s="1">
        <v>73</v>
      </c>
      <c r="D70" s="1" t="s">
        <v>254</v>
      </c>
    </row>
    <row r="71" customHeight="1" spans="1:5">
      <c r="A71" s="1" t="s">
        <v>136</v>
      </c>
      <c r="B71" s="1">
        <v>97</v>
      </c>
      <c r="C71" s="1">
        <v>87</v>
      </c>
      <c r="D71" s="1">
        <v>40</v>
      </c>
      <c r="E71" s="5">
        <v>25</v>
      </c>
    </row>
    <row r="72" customHeight="1" spans="1:5">
      <c r="A72" s="1" t="s">
        <v>158</v>
      </c>
      <c r="B72" s="1">
        <v>95</v>
      </c>
      <c r="C72" s="1">
        <v>83</v>
      </c>
      <c r="D72" s="1">
        <v>40</v>
      </c>
      <c r="E72" s="5">
        <v>12.5</v>
      </c>
    </row>
    <row r="73" customHeight="1" spans="1:5">
      <c r="A73" s="1" t="s">
        <v>122</v>
      </c>
      <c r="B73" s="1">
        <v>93</v>
      </c>
      <c r="C73" s="1">
        <v>78</v>
      </c>
      <c r="D73" s="1">
        <v>61</v>
      </c>
      <c r="E73" s="5">
        <v>50</v>
      </c>
    </row>
    <row r="74" customHeight="1" spans="1:4">
      <c r="A74" s="1" t="s">
        <v>71</v>
      </c>
      <c r="B74" s="1">
        <v>85</v>
      </c>
      <c r="C74" s="1">
        <v>89</v>
      </c>
      <c r="D74" s="1">
        <v>64</v>
      </c>
    </row>
    <row r="75" customHeight="1" spans="1:5">
      <c r="A75" s="1" t="s">
        <v>181</v>
      </c>
      <c r="B75" s="1">
        <v>85</v>
      </c>
      <c r="C75" s="1">
        <v>84</v>
      </c>
      <c r="D75" s="1">
        <v>61</v>
      </c>
      <c r="E75" s="5">
        <v>50</v>
      </c>
    </row>
    <row r="76" customHeight="1" spans="1:4">
      <c r="A76" s="1" t="s">
        <v>52</v>
      </c>
      <c r="B76" s="1">
        <v>80</v>
      </c>
      <c r="C76" s="1" t="s">
        <v>252</v>
      </c>
      <c r="D76" s="1" t="s">
        <v>254</v>
      </c>
    </row>
    <row r="77" customHeight="1" spans="1:4">
      <c r="A77" s="1" t="s">
        <v>219</v>
      </c>
      <c r="B77" s="1">
        <v>37.5</v>
      </c>
      <c r="C77" s="1">
        <v>0</v>
      </c>
      <c r="D77" s="1">
        <v>0</v>
      </c>
    </row>
    <row r="78" customHeight="1" spans="1:4">
      <c r="A78" s="1" t="s">
        <v>231</v>
      </c>
      <c r="B78" s="1">
        <v>0</v>
      </c>
      <c r="C78" s="1" t="s">
        <v>252</v>
      </c>
      <c r="D78" s="1" t="s">
        <v>254</v>
      </c>
    </row>
    <row r="81" customHeight="1" spans="2:5">
      <c r="B81" s="1" t="s">
        <v>233</v>
      </c>
      <c r="C81" s="1" t="s">
        <v>235</v>
      </c>
      <c r="D81" s="1" t="s">
        <v>253</v>
      </c>
      <c r="E81" s="1" t="s">
        <v>236</v>
      </c>
    </row>
    <row r="82" customHeight="1" spans="2:5">
      <c r="B82" s="1">
        <v>87.7</v>
      </c>
      <c r="C82" s="1">
        <v>78.5</v>
      </c>
      <c r="D82" s="1">
        <v>39.8</v>
      </c>
      <c r="E82" s="1">
        <v>53.3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Lueng_LY、梁源发</cp:lastModifiedBy>
  <dcterms:created xsi:type="dcterms:W3CDTF">2006-09-16T16:00:00Z</dcterms:created>
  <dcterms:modified xsi:type="dcterms:W3CDTF">2026-03-26T14:17:35Z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C05BE9A4FD45A96897CF1F69D6ECB8C1_42</vt:lpwstr>
  </property>
  <property fmtid="{D5CDD505-2E9C-101B-9397-08002B2CF9AE}" pid="3" name="KSOProductBuildVer">
    <vt:lpwstr>2052-6.15.1.8935</vt:lpwstr>
  </property>
</Properties>
</file>